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6d01e5f401a2086/Desktop/"/>
    </mc:Choice>
  </mc:AlternateContent>
  <xr:revisionPtr revIDLastSave="0" documentId="8_{D463E067-B8EE-40DE-B77C-4950114365B4}" xr6:coauthVersionLast="47" xr6:coauthVersionMax="47" xr10:uidLastSave="{00000000-0000-0000-0000-000000000000}"/>
  <bookViews>
    <workbookView xWindow="-108" yWindow="-108" windowWidth="23256" windowHeight="13896" tabRatio="500" firstSheet="1" activeTab="2" xr2:uid="{00000000-000D-0000-FFFF-FFFF00000000}"/>
  </bookViews>
  <sheets>
    <sheet name="ملاحظات" sheetId="1" r:id="rId1"/>
    <sheet name="Sheet2" sheetId="10" r:id="rId2"/>
    <sheet name="الطلبات" sheetId="2" r:id="rId3"/>
    <sheet name="مصادر الزيارات" sheetId="4" r:id="rId4"/>
    <sheet name="الحملات" sheetId="5" r:id="rId5"/>
    <sheet name="قمع التحويل" sheetId="6" r:id="rId6"/>
    <sheet name="الوقت" sheetId="8" r:id="rId7"/>
  </sheets>
  <definedNames>
    <definedName name="_xlnm._FilterDatabase" localSheetId="2" hidden="1">الطلبات!$A$1:$O$303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2" i="6"/>
  <c r="F4" i="5"/>
  <c r="F3" i="5"/>
  <c r="F2" i="5"/>
  <c r="E5" i="4"/>
  <c r="C5" i="4"/>
  <c r="B5" i="4"/>
  <c r="F5" i="4" s="1"/>
  <c r="F4" i="4"/>
  <c r="F3" i="4"/>
  <c r="F2" i="4"/>
  <c r="F303" i="2"/>
  <c r="E303" i="2"/>
  <c r="D303" i="2"/>
  <c r="C303" i="2"/>
  <c r="F302" i="2"/>
  <c r="E302" i="2"/>
  <c r="D302" i="2"/>
  <c r="C302" i="2"/>
  <c r="F301" i="2"/>
  <c r="E301" i="2"/>
  <c r="D301" i="2"/>
  <c r="C301" i="2"/>
  <c r="F300" i="2"/>
  <c r="E300" i="2"/>
  <c r="D300" i="2"/>
  <c r="C300" i="2"/>
  <c r="F299" i="2"/>
  <c r="E299" i="2"/>
  <c r="D299" i="2"/>
  <c r="C299" i="2"/>
  <c r="F298" i="2"/>
  <c r="E298" i="2"/>
  <c r="D298" i="2"/>
  <c r="C298" i="2"/>
  <c r="F297" i="2"/>
  <c r="E297" i="2"/>
  <c r="D297" i="2"/>
  <c r="C297" i="2"/>
  <c r="F296" i="2"/>
  <c r="E296" i="2"/>
  <c r="D296" i="2"/>
  <c r="C296" i="2"/>
  <c r="F295" i="2"/>
  <c r="E295" i="2"/>
  <c r="D295" i="2"/>
  <c r="C295" i="2"/>
  <c r="F294" i="2"/>
  <c r="E294" i="2"/>
  <c r="D294" i="2"/>
  <c r="C294" i="2"/>
  <c r="F293" i="2"/>
  <c r="E293" i="2"/>
  <c r="D293" i="2"/>
  <c r="C293" i="2"/>
  <c r="F292" i="2"/>
  <c r="E292" i="2"/>
  <c r="D292" i="2"/>
  <c r="C292" i="2"/>
  <c r="F291" i="2"/>
  <c r="E291" i="2"/>
  <c r="D291" i="2"/>
  <c r="C291" i="2"/>
  <c r="F290" i="2"/>
  <c r="E290" i="2"/>
  <c r="D290" i="2"/>
  <c r="C290" i="2"/>
  <c r="F289" i="2"/>
  <c r="E289" i="2"/>
  <c r="D289" i="2"/>
  <c r="C289" i="2"/>
  <c r="F288" i="2"/>
  <c r="E288" i="2"/>
  <c r="D288" i="2"/>
  <c r="C288" i="2"/>
  <c r="F287" i="2"/>
  <c r="E287" i="2"/>
  <c r="D287" i="2"/>
  <c r="C287" i="2"/>
  <c r="F286" i="2"/>
  <c r="E286" i="2"/>
  <c r="D286" i="2"/>
  <c r="C286" i="2"/>
  <c r="F285" i="2"/>
  <c r="E285" i="2"/>
  <c r="D285" i="2"/>
  <c r="C285" i="2"/>
  <c r="F284" i="2"/>
  <c r="E284" i="2"/>
  <c r="D284" i="2"/>
  <c r="C284" i="2"/>
  <c r="F283" i="2"/>
  <c r="E283" i="2"/>
  <c r="D283" i="2"/>
  <c r="C283" i="2"/>
  <c r="F282" i="2"/>
  <c r="E282" i="2"/>
  <c r="D282" i="2"/>
  <c r="C282" i="2"/>
  <c r="F281" i="2"/>
  <c r="E281" i="2"/>
  <c r="D281" i="2"/>
  <c r="C281" i="2"/>
  <c r="F280" i="2"/>
  <c r="E280" i="2"/>
  <c r="D280" i="2"/>
  <c r="C280" i="2"/>
  <c r="F279" i="2"/>
  <c r="E279" i="2"/>
  <c r="D279" i="2"/>
  <c r="C279" i="2"/>
  <c r="F278" i="2"/>
  <c r="E278" i="2"/>
  <c r="D278" i="2"/>
  <c r="C278" i="2"/>
  <c r="F277" i="2"/>
  <c r="E277" i="2"/>
  <c r="D277" i="2"/>
  <c r="C277" i="2"/>
  <c r="F276" i="2"/>
  <c r="E276" i="2"/>
  <c r="D276" i="2"/>
  <c r="C276" i="2"/>
  <c r="F275" i="2"/>
  <c r="E275" i="2"/>
  <c r="D275" i="2"/>
  <c r="C275" i="2"/>
  <c r="F274" i="2"/>
  <c r="E274" i="2"/>
  <c r="D274" i="2"/>
  <c r="C274" i="2"/>
  <c r="F273" i="2"/>
  <c r="E273" i="2"/>
  <c r="D273" i="2"/>
  <c r="C273" i="2"/>
  <c r="F272" i="2"/>
  <c r="E272" i="2"/>
  <c r="D272" i="2"/>
  <c r="C272" i="2"/>
  <c r="F271" i="2"/>
  <c r="E271" i="2"/>
  <c r="D271" i="2"/>
  <c r="C271" i="2"/>
  <c r="F270" i="2"/>
  <c r="E270" i="2"/>
  <c r="D270" i="2"/>
  <c r="C270" i="2"/>
  <c r="F269" i="2"/>
  <c r="E269" i="2"/>
  <c r="D269" i="2"/>
  <c r="C269" i="2"/>
  <c r="F268" i="2"/>
  <c r="E268" i="2"/>
  <c r="D268" i="2"/>
  <c r="C268" i="2"/>
  <c r="F267" i="2"/>
  <c r="E267" i="2"/>
  <c r="D267" i="2"/>
  <c r="C267" i="2"/>
  <c r="F266" i="2"/>
  <c r="E266" i="2"/>
  <c r="D266" i="2"/>
  <c r="C266" i="2"/>
  <c r="F265" i="2"/>
  <c r="E265" i="2"/>
  <c r="D265" i="2"/>
  <c r="C265" i="2"/>
  <c r="F264" i="2"/>
  <c r="E264" i="2"/>
  <c r="D264" i="2"/>
  <c r="C264" i="2"/>
  <c r="F263" i="2"/>
  <c r="E263" i="2"/>
  <c r="D263" i="2"/>
  <c r="C263" i="2"/>
  <c r="F262" i="2"/>
  <c r="E262" i="2"/>
  <c r="D262" i="2"/>
  <c r="C262" i="2"/>
  <c r="F261" i="2"/>
  <c r="E261" i="2"/>
  <c r="D261" i="2"/>
  <c r="C261" i="2"/>
  <c r="F260" i="2"/>
  <c r="E260" i="2"/>
  <c r="D260" i="2"/>
  <c r="C260" i="2"/>
  <c r="F259" i="2"/>
  <c r="E259" i="2"/>
  <c r="D259" i="2"/>
  <c r="C259" i="2"/>
  <c r="F258" i="2"/>
  <c r="E258" i="2"/>
  <c r="D258" i="2"/>
  <c r="C258" i="2"/>
  <c r="F257" i="2"/>
  <c r="E257" i="2"/>
  <c r="D257" i="2"/>
  <c r="C257" i="2"/>
  <c r="F256" i="2"/>
  <c r="E256" i="2"/>
  <c r="D256" i="2"/>
  <c r="C256" i="2"/>
  <c r="F255" i="2"/>
  <c r="E255" i="2"/>
  <c r="D255" i="2"/>
  <c r="C255" i="2"/>
  <c r="F254" i="2"/>
  <c r="E254" i="2"/>
  <c r="D254" i="2"/>
  <c r="C254" i="2"/>
  <c r="F253" i="2"/>
  <c r="E253" i="2"/>
  <c r="D253" i="2"/>
  <c r="C253" i="2"/>
  <c r="F252" i="2"/>
  <c r="E252" i="2"/>
  <c r="D252" i="2"/>
  <c r="C252" i="2"/>
  <c r="F251" i="2"/>
  <c r="E251" i="2"/>
  <c r="D251" i="2"/>
  <c r="C251" i="2"/>
  <c r="F250" i="2"/>
  <c r="E250" i="2"/>
  <c r="D250" i="2"/>
  <c r="C250" i="2"/>
  <c r="F249" i="2"/>
  <c r="E249" i="2"/>
  <c r="D249" i="2"/>
  <c r="C249" i="2"/>
  <c r="F248" i="2"/>
  <c r="E248" i="2"/>
  <c r="D248" i="2"/>
  <c r="C248" i="2"/>
  <c r="F247" i="2"/>
  <c r="E247" i="2"/>
  <c r="D247" i="2"/>
  <c r="C247" i="2"/>
  <c r="F246" i="2"/>
  <c r="E246" i="2"/>
  <c r="D246" i="2"/>
  <c r="C246" i="2"/>
  <c r="F245" i="2"/>
  <c r="E245" i="2"/>
  <c r="D245" i="2"/>
  <c r="C245" i="2"/>
  <c r="F244" i="2"/>
  <c r="E244" i="2"/>
  <c r="D244" i="2"/>
  <c r="C244" i="2"/>
  <c r="F243" i="2"/>
  <c r="E243" i="2"/>
  <c r="D243" i="2"/>
  <c r="C243" i="2"/>
  <c r="F242" i="2"/>
  <c r="E242" i="2"/>
  <c r="D242" i="2"/>
  <c r="C242" i="2"/>
  <c r="F241" i="2"/>
  <c r="E241" i="2"/>
  <c r="D241" i="2"/>
  <c r="C241" i="2"/>
  <c r="F240" i="2"/>
  <c r="E240" i="2"/>
  <c r="D240" i="2"/>
  <c r="C240" i="2"/>
  <c r="F239" i="2"/>
  <c r="E239" i="2"/>
  <c r="D239" i="2"/>
  <c r="C239" i="2"/>
  <c r="F238" i="2"/>
  <c r="E238" i="2"/>
  <c r="D238" i="2"/>
  <c r="C238" i="2"/>
  <c r="F237" i="2"/>
  <c r="E237" i="2"/>
  <c r="D237" i="2"/>
  <c r="C237" i="2"/>
  <c r="F236" i="2"/>
  <c r="E236" i="2"/>
  <c r="D236" i="2"/>
  <c r="C236" i="2"/>
  <c r="F235" i="2"/>
  <c r="E235" i="2"/>
  <c r="D235" i="2"/>
  <c r="C235" i="2"/>
  <c r="F234" i="2"/>
  <c r="E234" i="2"/>
  <c r="D234" i="2"/>
  <c r="C234" i="2"/>
  <c r="F233" i="2"/>
  <c r="E233" i="2"/>
  <c r="D233" i="2"/>
  <c r="C233" i="2"/>
  <c r="F232" i="2"/>
  <c r="E232" i="2"/>
  <c r="D232" i="2"/>
  <c r="C232" i="2"/>
  <c r="F231" i="2"/>
  <c r="E231" i="2"/>
  <c r="D231" i="2"/>
  <c r="C231" i="2"/>
  <c r="F230" i="2"/>
  <c r="E230" i="2"/>
  <c r="D230" i="2"/>
  <c r="C230" i="2"/>
  <c r="F229" i="2"/>
  <c r="E229" i="2"/>
  <c r="D229" i="2"/>
  <c r="C229" i="2"/>
  <c r="F228" i="2"/>
  <c r="E228" i="2"/>
  <c r="D228" i="2"/>
  <c r="C228" i="2"/>
  <c r="F227" i="2"/>
  <c r="E227" i="2"/>
  <c r="D227" i="2"/>
  <c r="C227" i="2"/>
  <c r="F226" i="2"/>
  <c r="E226" i="2"/>
  <c r="D226" i="2"/>
  <c r="C226" i="2"/>
  <c r="F225" i="2"/>
  <c r="E225" i="2"/>
  <c r="D225" i="2"/>
  <c r="C225" i="2"/>
  <c r="F224" i="2"/>
  <c r="E224" i="2"/>
  <c r="D224" i="2"/>
  <c r="C224" i="2"/>
  <c r="F223" i="2"/>
  <c r="E223" i="2"/>
  <c r="D223" i="2"/>
  <c r="C223" i="2"/>
  <c r="F222" i="2"/>
  <c r="E222" i="2"/>
  <c r="D222" i="2"/>
  <c r="C222" i="2"/>
  <c r="F221" i="2"/>
  <c r="E221" i="2"/>
  <c r="D221" i="2"/>
  <c r="C221" i="2"/>
  <c r="F220" i="2"/>
  <c r="E220" i="2"/>
  <c r="D220" i="2"/>
  <c r="C220" i="2"/>
  <c r="F219" i="2"/>
  <c r="E219" i="2"/>
  <c r="D219" i="2"/>
  <c r="C219" i="2"/>
  <c r="F218" i="2"/>
  <c r="E218" i="2"/>
  <c r="D218" i="2"/>
  <c r="C218" i="2"/>
  <c r="F217" i="2"/>
  <c r="E217" i="2"/>
  <c r="D217" i="2"/>
  <c r="C217" i="2"/>
  <c r="F216" i="2"/>
  <c r="E216" i="2"/>
  <c r="D216" i="2"/>
  <c r="C216" i="2"/>
  <c r="F215" i="2"/>
  <c r="E215" i="2"/>
  <c r="D215" i="2"/>
  <c r="C215" i="2"/>
  <c r="F214" i="2"/>
  <c r="E214" i="2"/>
  <c r="D214" i="2"/>
  <c r="C214" i="2"/>
  <c r="F213" i="2"/>
  <c r="E213" i="2"/>
  <c r="D213" i="2"/>
  <c r="C213" i="2"/>
  <c r="F212" i="2"/>
  <c r="E212" i="2"/>
  <c r="D212" i="2"/>
  <c r="C212" i="2"/>
  <c r="F211" i="2"/>
  <c r="E211" i="2"/>
  <c r="D211" i="2"/>
  <c r="C211" i="2"/>
  <c r="F210" i="2"/>
  <c r="E210" i="2"/>
  <c r="D210" i="2"/>
  <c r="C210" i="2"/>
  <c r="F209" i="2"/>
  <c r="E209" i="2"/>
  <c r="D209" i="2"/>
  <c r="C209" i="2"/>
  <c r="F208" i="2"/>
  <c r="E208" i="2"/>
  <c r="D208" i="2"/>
  <c r="C208" i="2"/>
  <c r="F207" i="2"/>
  <c r="E207" i="2"/>
  <c r="D207" i="2"/>
  <c r="C207" i="2"/>
  <c r="F206" i="2"/>
  <c r="E206" i="2"/>
  <c r="D206" i="2"/>
  <c r="C206" i="2"/>
  <c r="F205" i="2"/>
  <c r="E205" i="2"/>
  <c r="D205" i="2"/>
  <c r="C205" i="2"/>
  <c r="F204" i="2"/>
  <c r="E204" i="2"/>
  <c r="D204" i="2"/>
  <c r="C204" i="2"/>
  <c r="F203" i="2"/>
  <c r="E203" i="2"/>
  <c r="D203" i="2"/>
  <c r="C203" i="2"/>
  <c r="F202" i="2"/>
  <c r="E202" i="2"/>
  <c r="D202" i="2"/>
  <c r="C202" i="2"/>
  <c r="F201" i="2"/>
  <c r="E201" i="2"/>
  <c r="D201" i="2"/>
  <c r="C201" i="2"/>
  <c r="F200" i="2"/>
  <c r="E200" i="2"/>
  <c r="D200" i="2"/>
  <c r="C200" i="2"/>
  <c r="F199" i="2"/>
  <c r="E199" i="2"/>
  <c r="D199" i="2"/>
  <c r="C199" i="2"/>
  <c r="F198" i="2"/>
  <c r="E198" i="2"/>
  <c r="D198" i="2"/>
  <c r="C198" i="2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F139" i="2"/>
  <c r="E139" i="2"/>
  <c r="D139" i="2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F116" i="2"/>
  <c r="E116" i="2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G2" i="8" l="1"/>
  <c r="F3" i="8"/>
  <c r="F7" i="8"/>
  <c r="F2" i="8"/>
  <c r="G6" i="8"/>
  <c r="F6" i="8"/>
  <c r="G7" i="8"/>
  <c r="G4" i="8"/>
  <c r="G5" i="8"/>
  <c r="G3" i="8"/>
  <c r="F4" i="8"/>
  <c r="F5" i="8"/>
  <c r="G8" i="8"/>
  <c r="F8" i="8"/>
  <c r="B3" i="8"/>
  <c r="C18" i="8"/>
  <c r="C11" i="8"/>
  <c r="B11" i="8"/>
  <c r="C6" i="8"/>
  <c r="B6" i="8"/>
  <c r="B14" i="8"/>
  <c r="C4" i="8"/>
  <c r="B4" i="8"/>
  <c r="B20" i="8"/>
  <c r="B9" i="8"/>
  <c r="C2" i="8"/>
  <c r="B2" i="8"/>
  <c r="B21" i="8"/>
  <c r="C15" i="8"/>
  <c r="B15" i="8"/>
  <c r="C9" i="8"/>
  <c r="C22" i="8"/>
  <c r="C21" i="8"/>
  <c r="C20" i="8"/>
  <c r="C19" i="8"/>
  <c r="B19" i="8"/>
  <c r="C14" i="8"/>
  <c r="C13" i="8"/>
  <c r="B13" i="8"/>
  <c r="C7" i="8"/>
  <c r="B7" i="8"/>
  <c r="B22" i="8"/>
  <c r="C10" i="8"/>
  <c r="B10" i="8"/>
  <c r="B18" i="8"/>
  <c r="C16" i="8"/>
  <c r="B16" i="8"/>
  <c r="C8" i="8"/>
  <c r="B8" i="8"/>
  <c r="C12" i="8"/>
  <c r="C17" i="8"/>
  <c r="B17" i="8"/>
  <c r="B12" i="8"/>
  <c r="C3" i="8"/>
  <c r="C5" i="8"/>
  <c r="B5" i="8"/>
  <c r="C24" i="8"/>
  <c r="B24" i="8"/>
  <c r="C23" i="8"/>
  <c r="B23" i="8"/>
  <c r="C25" i="8"/>
  <c r="B25" i="8"/>
</calcChain>
</file>

<file path=xl/sharedStrings.xml><?xml version="1.0" encoding="utf-8"?>
<sst xmlns="http://schemas.openxmlformats.org/spreadsheetml/2006/main" count="2204" uniqueCount="160">
  <si>
    <t>المصدر: تقارير سلة (Salla Merchant Reports) — الفترة من بداية المتجر حتى 2026-09-28، سُحبت في 2026-09-28.</t>
  </si>
  <si>
    <t>تم حذف أسماء العملاء وإيميلاتهم وأرقام جوالاتهم بطلب منك — المتبقي: المدينة ورمز الدولة فقط.</t>
  </si>
  <si>
    <t>ورقة "الطلبات" = سطر لكل منتج داخل الطلب (الطلب اللي فيه 3 كتب يطلع 3 أسطر). عدد الطلبات الفريدة محسوب بالمعادلات.</t>
  </si>
  <si>
    <t>البيانات كما هي من سلة بدون تنظيف: مدن فاضية، أسماء مدن بالإنجليزي والعربي (Riyadh / الرياض)، رمز دولة لا يطابق المدينة أحيانًا.</t>
  </si>
  <si>
    <t>عمود "سطر مكرر؟" يعلّم الأسطر اللي نفس الطلب ونفس المنتج تكررت فيها (غالبًا تكرار من صفحات تقرير سلة، مثل الطلب 261735629).</t>
  </si>
  <si>
    <t>أرقام "طرق الدفع" و"مصادر الزيارات" و"الحملات" و"القمع" و"شهري" منقولة من تقارير سلة الجاهزة، وقد لا تطابق مجموع ورقة الطلبات 100% (سلة تحسب الطلبات الملغاة/المسترجعة بطريقتها).</t>
  </si>
  <si>
    <t>تقرير الأجهزة في سلة ما يفرّق (كله "Store": 269 طلب، 17,442.12 ريال)، فاستخدم عمود "القناة" في ورقة الطلبات (أغلبها mobile).</t>
  </si>
  <si>
    <t>مصادر الزيارات: تيك توك جاب 95% من الزيارات لكن تحويله 0.22%، والزيارات المباشرة تحويلها 7.8%.</t>
  </si>
  <si>
    <t>رقم الطلب</t>
  </si>
  <si>
    <t>التاريخ والوقت</t>
  </si>
  <si>
    <t>التاريخ</t>
  </si>
  <si>
    <t>الشهر</t>
  </si>
  <si>
    <t>الساعة</t>
  </si>
  <si>
    <t>اليوم</t>
  </si>
  <si>
    <t>المنتج</t>
  </si>
  <si>
    <t>الكمية</t>
  </si>
  <si>
    <t>الإجمالي (ريال)</t>
  </si>
  <si>
    <t>طريقة الدفع</t>
  </si>
  <si>
    <t>الحالة</t>
  </si>
  <si>
    <t>المدينة</t>
  </si>
  <si>
    <t>رمز الدولة</t>
  </si>
  <si>
    <t>القناة</t>
  </si>
  <si>
    <t>فن الكلام</t>
  </si>
  <si>
    <t>mada</t>
  </si>
  <si>
    <t>تم التنفيذ</t>
  </si>
  <si>
    <t>الدمام</t>
  </si>
  <si>
    <t>+966</t>
  </si>
  <si>
    <t>mobile</t>
  </si>
  <si>
    <t>كتاب فن الكلام الرقمي</t>
  </si>
  <si>
    <t>credit_card</t>
  </si>
  <si>
    <t>الرياض</t>
  </si>
  <si>
    <t>تبوك</t>
  </si>
  <si>
    <t>بيش</t>
  </si>
  <si>
    <t>المدينة المنورة</t>
  </si>
  <si>
    <t>stc_pay</t>
  </si>
  <si>
    <t>بريدة</t>
  </si>
  <si>
    <t>الجبيل</t>
  </si>
  <si>
    <t>الطائف</t>
  </si>
  <si>
    <t>الجفر</t>
  </si>
  <si>
    <t>+965</t>
  </si>
  <si>
    <t>الخفجي</t>
  </si>
  <si>
    <t>الباحة</t>
  </si>
  <si>
    <t>احد المسارحة</t>
  </si>
  <si>
    <t>جدة</t>
  </si>
  <si>
    <t>مكة المكرمة</t>
  </si>
  <si>
    <t>إزكي</t>
  </si>
  <si>
    <t>+968</t>
  </si>
  <si>
    <t>لعصان</t>
  </si>
  <si>
    <t>بحرة</t>
  </si>
  <si>
    <t>جازان</t>
  </si>
  <si>
    <t>الخبر</t>
  </si>
  <si>
    <t>الدائر</t>
  </si>
  <si>
    <t>جاير العلي</t>
  </si>
  <si>
    <t>+971</t>
  </si>
  <si>
    <t>رأس الخيمة</t>
  </si>
  <si>
    <t>العيون</t>
  </si>
  <si>
    <t>حائل</t>
  </si>
  <si>
    <t>الهفوف والمبرز</t>
  </si>
  <si>
    <t>صباح الأحمد</t>
  </si>
  <si>
    <t>القويعية</t>
  </si>
  <si>
    <t>القطيف</t>
  </si>
  <si>
    <t>صفوى</t>
  </si>
  <si>
    <t>tamara_installment</t>
  </si>
  <si>
    <t>بقيق</t>
  </si>
  <si>
    <t>أبو عريش</t>
  </si>
  <si>
    <t>الظهران</t>
  </si>
  <si>
    <t>apple_pay</t>
  </si>
  <si>
    <t>القريات</t>
  </si>
  <si>
    <t>كتاب الذكاء الإجتماعي الرقمي</t>
  </si>
  <si>
    <t>كتاب فن الإقناع الرقمي</t>
  </si>
  <si>
    <t>كويكبة</t>
  </si>
  <si>
    <t>ابو عريش</t>
  </si>
  <si>
    <t>سكاكا</t>
  </si>
  <si>
    <t>الدلم</t>
  </si>
  <si>
    <t>أبها</t>
  </si>
  <si>
    <t>الدليمية</t>
  </si>
  <si>
    <t>ضبا</t>
  </si>
  <si>
    <t>رغوان</t>
  </si>
  <si>
    <t>شرورة</t>
  </si>
  <si>
    <t>مجموعة فنون التواصل</t>
  </si>
  <si>
    <t>الجموم</t>
  </si>
  <si>
    <t>+974</t>
  </si>
  <si>
    <t>سراة عبيدة</t>
  </si>
  <si>
    <t>البدائع العليا</t>
  </si>
  <si>
    <t>خميس مشيط</t>
  </si>
  <si>
    <t>العلا</t>
  </si>
  <si>
    <t>محايل عسير</t>
  </si>
  <si>
    <t>الخرمة</t>
  </si>
  <si>
    <t>أحد رفيدة</t>
  </si>
  <si>
    <t>الشقيق</t>
  </si>
  <si>
    <t>المدام</t>
  </si>
  <si>
    <t>عرعر</t>
  </si>
  <si>
    <t>املج</t>
  </si>
  <si>
    <t>عنيزة</t>
  </si>
  <si>
    <t>أضم</t>
  </si>
  <si>
    <t>العيينة</t>
  </si>
  <si>
    <t>قنا</t>
  </si>
  <si>
    <t>ينبع</t>
  </si>
  <si>
    <t>مستورة</t>
  </si>
  <si>
    <t>بيشة</t>
  </si>
  <si>
    <t>طيب الإسم</t>
  </si>
  <si>
    <t>الرفيعة</t>
  </si>
  <si>
    <t>الهفوف</t>
  </si>
  <si>
    <t>الجبيل الصناعية</t>
  </si>
  <si>
    <t>desktop</t>
  </si>
  <si>
    <t>ام العقل وتشمل</t>
  </si>
  <si>
    <t>محافظة الريث</t>
  </si>
  <si>
    <t>الضبعية</t>
  </si>
  <si>
    <t>الأحمدي</t>
  </si>
  <si>
    <t>+44</t>
  </si>
  <si>
    <t>الدوحة</t>
  </si>
  <si>
    <t>الإجمالي</t>
  </si>
  <si>
    <t>المصدر</t>
  </si>
  <si>
    <t>الزيارات</t>
  </si>
  <si>
    <t>المشتريات</t>
  </si>
  <si>
    <t>حصة من المشتريات (سلة) %</t>
  </si>
  <si>
    <t>قيمة المشتريات (ريال)</t>
  </si>
  <si>
    <t>معدل التحويل</t>
  </si>
  <si>
    <t>direct</t>
  </si>
  <si>
    <t>tiktok</t>
  </si>
  <si>
    <t>instagram</t>
  </si>
  <si>
    <t>اسم الحملة</t>
  </si>
  <si>
    <t>Copy 1 of Website conversion 20260505115044</t>
  </si>
  <si>
    <t>gh</t>
  </si>
  <si>
    <t>تجربة 2</t>
  </si>
  <si>
    <t>المرحلة</t>
  </si>
  <si>
    <t>العدد</t>
  </si>
  <si>
    <t>نسبة من الزيارات</t>
  </si>
  <si>
    <t>زيارات</t>
  </si>
  <si>
    <t>إضافة للسلة</t>
  </si>
  <si>
    <t>عرض السلة</t>
  </si>
  <si>
    <t>بدء الدفع</t>
  </si>
  <si>
    <t>طلب مكتمل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</si>
  <si>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</si>
  <si>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</si>
  <si>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</si>
  <si>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</si>
  <si>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</si>
  <si>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</si>
  <si>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</si>
  <si>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</si>
  <si>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</si>
  <si>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عدد الطلبات (فريدة)</t>
  </si>
  <si>
    <t>المبيعات (ريال)</t>
  </si>
  <si>
    <t>الأحد</t>
  </si>
  <si>
    <t>الإثنين</t>
  </si>
  <si>
    <t>الثلاثاء</t>
  </si>
  <si>
    <t>الأربعاء</t>
  </si>
  <si>
    <t>الخميس</t>
  </si>
  <si>
    <t>الجمعة</t>
  </si>
  <si>
    <t>السبت</t>
  </si>
  <si>
    <t>الساعة بتوقيت سلة كما هي في التقرير (يُرجّح توقيت السعودية).</t>
  </si>
  <si>
    <t>غير معرف</t>
  </si>
  <si>
    <t>Row Labels</t>
  </si>
  <si>
    <t>Grand Total</t>
  </si>
  <si>
    <t>Sum of الإجمالي (ريال)</t>
  </si>
  <si>
    <t>الجنس (النهائي)</t>
  </si>
  <si>
    <t>أنثى</t>
  </si>
  <si>
    <t>ذكر</t>
  </si>
  <si>
    <t>غير معروف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</si>
</sst>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sz val="10"/>
      <color theme="1"/>
      <name val="Arial Unicode MS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4" fontId="3" fillId="0" borderId="0" xfId="0" applyNumberFormat="1" applyFont="1"/>
    <xf numFmtId="10" fontId="3" fillId="0" borderId="0" xfId="0" applyNumberFormat="1" applyFont="1"/>
    <xf numFmtId="1" fontId="1" fillId="0" borderId="0" xfId="0" applyNumberFormat="1" applyFont="1"/>
    <xf numFmtId="0" fontId="2" fillId="2" borderId="0" xfId="0" applyFont="1" applyFill="1"/>
    <xf numFmtId="1" fontId="0" fillId="0" borderId="0" xfId="0" applyNumberFormat="1"/>
    <xf numFmtId="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pivotButton="1"/>
    <xf numFmtId="0" fontId="6" fillId="2" borderId="0" xfId="0" applyFont="1" applyFill="1"/>
    <xf numFmtId="0" fontId="7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b" refreshedDate="46293.889842013887" createdVersion="8" refreshedVersion="8" minRefreshableVersion="3" recordCount="302" xr:uid="{086BCF30-1197-4FA5-B534-EE1B8D3A7FE8}">
  <cacheSource type="worksheet">
    <worksheetSource ref="A1:P303" sheet="الطلبات"/>
  </cacheSource>
  <cacheFields count="17">
    <cacheField name="رقم الطلب" numFmtId="0">
      <sharedItems containsSemiMixedTypes="0" containsString="0" containsNumber="1" containsInteger="1" minValue="229358484" maxValue="289459290"/>
    </cacheField>
    <cacheField name="التاريخ والوقت" numFmtId="164">
      <sharedItems containsSemiMixedTypes="0" containsNonDate="0" containsDate="1" containsString="0" minDate="2026-01-10T23:38:53" maxDate="2026-09-27T20:42:16"/>
    </cacheField>
    <cacheField name="التاريخ" numFmtId="165">
      <sharedItems containsSemiMixedTypes="0" containsNonDate="0" containsDate="1" containsString="0" minDate="2026-01-10T00:00:00" maxDate="2026-09-28T00:00:00"/>
    </cacheField>
    <cacheField name="الشهر" numFmtId="0">
      <sharedItems count="9">
        <s v="2026-01"/>
        <s v="2026-02"/>
        <s v="2026-03"/>
        <s v="2026-04"/>
        <s v="2026-05"/>
        <s v="2026-06"/>
        <s v="2026-07"/>
        <s v="2026-08"/>
        <s v="2026-09"/>
      </sharedItems>
    </cacheField>
    <cacheField name="الساعة" numFmtId="0">
      <sharedItems containsSemiMixedTypes="0" containsString="0" containsNumber="1" containsInteger="1" minValue="0" maxValue="23"/>
    </cacheField>
    <cacheField name="اليوم" numFmtId="0">
      <sharedItems/>
    </cacheField>
    <cacheField name="المنتج" numFmtId="0">
      <sharedItems/>
    </cacheField>
    <cacheField name="الكمية" numFmtId="0">
      <sharedItems containsSemiMixedTypes="0" containsString="0" containsNumber="1" containsInteger="1" minValue="1" maxValue="2"/>
    </cacheField>
    <cacheField name="الإجمالي (ريال)" numFmtId="0">
      <sharedItems containsSemiMixedTypes="0" containsString="0" containsNumber="1" minValue="29" maxValue="111"/>
    </cacheField>
    <cacheField name="طريقة الدفع" numFmtId="0">
      <sharedItems/>
    </cacheField>
    <cacheField name="الحالة" numFmtId="0">
      <sharedItems/>
    </cacheField>
    <cacheField name="المدينة" numFmtId="0">
      <sharedItems/>
    </cacheField>
    <cacheField name="رمز الدولة" numFmtId="0">
      <sharedItems/>
    </cacheField>
    <cacheField name="القناة" numFmtId="0">
      <sharedItems containsBlank="1"/>
    </cacheField>
    <cacheField name="سطر مكرر؟" numFmtId="0">
      <sharedItems/>
    </cacheField>
    <cacheField name="أسم العميل" numFmtId="0">
      <sharedItems/>
    </cacheField>
    <cacheField name="الجنس (النهائي)" numFmtId="0">
      <sharedItems containsBlank="1" count="4">
        <s v="أنثى"/>
        <s v="ذكر"/>
        <s v="غير معروف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29358484"/>
    <d v="2026-01-10T23:38:53"/>
    <d v="2026-01-10T00:00:00"/>
    <x v="0"/>
    <n v="23"/>
    <s v="السبت"/>
    <s v="فن الكلام"/>
    <n v="1"/>
    <n v="29"/>
    <s v="mada"/>
    <s v="تم التنفيذ"/>
    <s v="الدمام"/>
    <s v="+966"/>
    <s v="mobile"/>
    <s v=""/>
    <s v="رينا"/>
    <x v="0"/>
  </r>
  <r>
    <n v="230892347"/>
    <d v="2026-01-20T14:47:57"/>
    <d v="2026-01-20T00:00:00"/>
    <x v="0"/>
    <n v="14"/>
    <s v="الثلاثاء"/>
    <s v="كتاب فن الكلام الرقمي"/>
    <n v="1"/>
    <n v="49"/>
    <s v="credit_card"/>
    <s v="تم التنفيذ"/>
    <s v="الرياض"/>
    <s v="+966"/>
    <s v="mobile"/>
    <s v=""/>
    <s v="صفا"/>
    <x v="0"/>
  </r>
  <r>
    <n v="230989076"/>
    <d v="2026-01-21T01:12:59"/>
    <d v="2026-01-21T00:00:00"/>
    <x v="0"/>
    <n v="1"/>
    <s v="الأربعاء"/>
    <s v="كتاب فن الكلام الرقمي"/>
    <n v="1"/>
    <n v="49"/>
    <s v="mada"/>
    <s v="تم التنفيذ"/>
    <s v="الرياض"/>
    <s v="+966"/>
    <s v="mobile"/>
    <s v=""/>
    <s v="السلطان سعود"/>
    <x v="1"/>
  </r>
  <r>
    <n v="231050335"/>
    <d v="2026-01-21T14:29:47"/>
    <d v="2026-01-21T00:00:00"/>
    <x v="0"/>
    <n v="14"/>
    <s v="الأربعاء"/>
    <s v="كتاب فن الكلام الرقمي"/>
    <n v="1"/>
    <n v="49"/>
    <s v="mada"/>
    <s v="تم التنفيذ"/>
    <s v="تبوك"/>
    <s v="+966"/>
    <s v="mobile"/>
    <s v=""/>
    <s v="ريماس"/>
    <x v="0"/>
  </r>
  <r>
    <n v="231088645"/>
    <d v="2026-01-21T19:18:59"/>
    <d v="2026-01-21T00:00:00"/>
    <x v="0"/>
    <n v="19"/>
    <s v="الأربعاء"/>
    <s v="كتاب فن الكلام الرقمي"/>
    <n v="1"/>
    <n v="49"/>
    <s v="mada"/>
    <s v="تم التنفيذ"/>
    <s v="الرياض"/>
    <s v="+966"/>
    <s v="mobile"/>
    <s v=""/>
    <s v="أسماء"/>
    <x v="0"/>
  </r>
  <r>
    <n v="231158172"/>
    <d v="2026-01-22T05:35:40"/>
    <d v="2026-01-22T00:00:00"/>
    <x v="0"/>
    <n v="5"/>
    <s v="الخميس"/>
    <s v="كتاب فن الكلام الرقمي"/>
    <n v="1"/>
    <n v="49"/>
    <s v="mada"/>
    <s v="تم التنفيذ"/>
    <s v="بيش"/>
    <s v="+966"/>
    <s v="mobile"/>
    <s v=""/>
    <s v="نجوى"/>
    <x v="0"/>
  </r>
  <r>
    <n v="231158951"/>
    <d v="2026-01-22T05:53:39"/>
    <d v="2026-01-22T00:00:00"/>
    <x v="0"/>
    <n v="5"/>
    <s v="الخميس"/>
    <s v="كتاب فن الكلام الرقمي"/>
    <n v="1"/>
    <n v="49"/>
    <s v="mada"/>
    <s v="تم التنفيذ"/>
    <s v="المدينة المنورة"/>
    <s v="+966"/>
    <s v="mobile"/>
    <s v=""/>
    <s v="غادة مو"/>
    <x v="0"/>
  </r>
  <r>
    <n v="231159428"/>
    <d v="2026-01-22T06:05:06"/>
    <d v="2026-01-22T00:00:00"/>
    <x v="0"/>
    <n v="6"/>
    <s v="الخميس"/>
    <s v="كتاب فن الكلام الرقمي"/>
    <n v="1"/>
    <n v="49"/>
    <s v="credit_card"/>
    <s v="تم التنفيذ"/>
    <s v="الرياض"/>
    <s v="+966"/>
    <s v="mobile"/>
    <s v=""/>
    <s v="الهنوف االهملان"/>
    <x v="0"/>
  </r>
  <r>
    <n v="231162387"/>
    <d v="2026-01-22T07:01:42"/>
    <d v="2026-01-22T00:00:00"/>
    <x v="0"/>
    <n v="7"/>
    <s v="الخميس"/>
    <s v="كتاب فن الكلام الرقمي"/>
    <n v="2"/>
    <n v="98"/>
    <s v="mada"/>
    <s v="تم التنفيذ"/>
    <s v="الرياض"/>
    <s v="+966"/>
    <s v="mobile"/>
    <s v=""/>
    <s v="سارة"/>
    <x v="0"/>
  </r>
  <r>
    <n v="231171408"/>
    <d v="2026-01-22T09:20:14"/>
    <d v="2026-01-22T00:00:00"/>
    <x v="0"/>
    <n v="9"/>
    <s v="الخميس"/>
    <s v="كتاب فن الكلام الرقمي"/>
    <n v="1"/>
    <n v="49"/>
    <s v="stc_pay"/>
    <s v="تم التنفيذ"/>
    <s v="الرياض"/>
    <s v="+966"/>
    <s v="mobile"/>
    <s v=""/>
    <s v="روان المهدي"/>
    <x v="0"/>
  </r>
  <r>
    <n v="231179470"/>
    <d v="2026-01-22T11:07:12"/>
    <d v="2026-01-22T00:00:00"/>
    <x v="0"/>
    <n v="11"/>
    <s v="الخميس"/>
    <s v="كتاب فن الكلام الرقمي"/>
    <n v="1"/>
    <n v="49"/>
    <s v="mada"/>
    <s v="تم التنفيذ"/>
    <s v="الرياض"/>
    <s v="+966"/>
    <s v="mobile"/>
    <s v=""/>
    <s v="غاده السبيعي"/>
    <x v="0"/>
  </r>
  <r>
    <n v="231186886"/>
    <d v="2026-01-22T12:35:45"/>
    <d v="2026-01-22T00:00:00"/>
    <x v="0"/>
    <n v="12"/>
    <s v="الخميس"/>
    <s v="كتاب فن الكلام الرقمي"/>
    <n v="1"/>
    <n v="49"/>
    <s v="mada"/>
    <s v="تم التنفيذ"/>
    <s v="بريدة"/>
    <s v="+966"/>
    <s v="mobile"/>
    <s v=""/>
    <s v="خولة الدبيان"/>
    <x v="0"/>
  </r>
  <r>
    <n v="231187043"/>
    <d v="2026-01-22T12:37:11"/>
    <d v="2026-01-22T00:00:00"/>
    <x v="0"/>
    <n v="12"/>
    <s v="الخميس"/>
    <s v="كتاب فن الكلام الرقمي"/>
    <n v="1"/>
    <n v="49"/>
    <s v="mada"/>
    <s v="تم التنفيذ"/>
    <s v="الجبيل"/>
    <s v="+966"/>
    <s v="mobile"/>
    <s v=""/>
    <s v="صالح الحربي"/>
    <x v="1"/>
  </r>
  <r>
    <n v="231256597"/>
    <d v="2026-01-22T21:42:52"/>
    <d v="2026-01-22T00:00:00"/>
    <x v="0"/>
    <n v="21"/>
    <s v="الخميس"/>
    <s v="كتاب فن الكلام الرقمي"/>
    <n v="1"/>
    <n v="49"/>
    <s v="credit_card"/>
    <s v="تم التنفيذ"/>
    <s v="الرياض"/>
    <s v="+966"/>
    <s v="mobile"/>
    <s v=""/>
    <s v="رزان الفوزان"/>
    <x v="0"/>
  </r>
  <r>
    <n v="231273899"/>
    <d v="2026-01-22T23:47:11"/>
    <d v="2026-01-22T00:00:00"/>
    <x v="0"/>
    <n v="23"/>
    <s v="الخميس"/>
    <s v="كتاب فن الكلام الرقمي"/>
    <n v="1"/>
    <n v="49"/>
    <s v="mada"/>
    <s v="تم التنفيذ"/>
    <s v="بريدة"/>
    <s v="+966"/>
    <s v="mobile"/>
    <s v=""/>
    <s v="أمجد عبد الله"/>
    <x v="0"/>
  </r>
  <r>
    <n v="231275247"/>
    <d v="2026-01-22T23:57:57"/>
    <d v="2026-01-22T00:00:00"/>
    <x v="0"/>
    <n v="23"/>
    <s v="الخميس"/>
    <s v="كتاب فن الكلام الرقمي"/>
    <n v="1"/>
    <n v="49"/>
    <s v="mada"/>
    <s v="تم التنفيذ"/>
    <s v="الطائف"/>
    <s v="+966"/>
    <s v="mobile"/>
    <s v=""/>
    <s v="إسراء التريكي"/>
    <x v="0"/>
  </r>
  <r>
    <n v="231296708"/>
    <d v="2026-01-23T03:21:17"/>
    <d v="2026-01-23T00:00:00"/>
    <x v="0"/>
    <n v="3"/>
    <s v="الجمعة"/>
    <s v="كتاب فن الكلام الرقمي"/>
    <n v="1"/>
    <n v="49"/>
    <s v="credit_card"/>
    <s v="تم التنفيذ"/>
    <s v="الجفر"/>
    <s v="+966"/>
    <s v="mobile"/>
    <s v=""/>
    <s v="نوره"/>
    <x v="0"/>
  </r>
  <r>
    <n v="231324737"/>
    <d v="2026-01-23T12:06:49"/>
    <d v="2026-01-23T00:00:00"/>
    <x v="0"/>
    <n v="12"/>
    <s v="الجمعة"/>
    <s v="كتاب فن الكلام الرقمي"/>
    <n v="1"/>
    <n v="49"/>
    <s v="credit_card"/>
    <s v="تم التنفيذ"/>
    <s v="الرياض"/>
    <s v="+966"/>
    <s v="mobile"/>
    <s v=""/>
    <s v="عبدالحكيم المنيع"/>
    <x v="1"/>
  </r>
  <r>
    <n v="231367535"/>
    <d v="2026-01-23T17:25:47"/>
    <d v="2026-01-23T00:00:00"/>
    <x v="0"/>
    <n v="17"/>
    <s v="الجمعة"/>
    <s v="كتاب فن الكلام الرقمي"/>
    <n v="1"/>
    <n v="49"/>
    <s v="mada"/>
    <s v="تم التنفيذ"/>
    <s v="الرياض"/>
    <s v="+966"/>
    <s v="mobile"/>
    <s v=""/>
    <s v="ريما"/>
    <x v="0"/>
  </r>
  <r>
    <n v="231386627"/>
    <d v="2026-01-23T19:39:58"/>
    <d v="2026-01-23T00:00:00"/>
    <x v="0"/>
    <n v="19"/>
    <s v="الجمعة"/>
    <s v="كتاب فن الكلام الرقمي"/>
    <n v="1"/>
    <n v="49"/>
    <s v="credit_card"/>
    <s v="تم التنفيذ"/>
    <s v="غير معرف"/>
    <s v="+965"/>
    <s v="mobile"/>
    <s v=""/>
    <s v="س"/>
    <x v="2"/>
  </r>
  <r>
    <n v="231563140"/>
    <d v="2026-01-24T22:41:43"/>
    <d v="2026-01-24T00:00:00"/>
    <x v="0"/>
    <n v="22"/>
    <s v="السبت"/>
    <s v="كتاب فن الكلام الرقمي"/>
    <n v="1"/>
    <n v="49"/>
    <s v="mada"/>
    <s v="تم التنفيذ"/>
    <s v="الخفجي"/>
    <s v="+966"/>
    <s v="mobile"/>
    <s v=""/>
    <s v="حصه"/>
    <x v="0"/>
  </r>
  <r>
    <n v="232628105"/>
    <d v="2026-01-29T04:54:23"/>
    <d v="2026-01-29T00:00:00"/>
    <x v="0"/>
    <n v="4"/>
    <s v="الخميس"/>
    <s v="كتاب فن الكلام الرقمي"/>
    <n v="1"/>
    <n v="49"/>
    <s v="mada"/>
    <s v="تم التنفيذ"/>
    <s v="الدمام"/>
    <s v="+966"/>
    <s v="mobile"/>
    <s v=""/>
    <s v="هند القرني"/>
    <x v="0"/>
  </r>
  <r>
    <n v="232860928"/>
    <d v="2026-01-30T02:43:27"/>
    <d v="2026-01-30T00:00:00"/>
    <x v="0"/>
    <n v="2"/>
    <s v="الجمعة"/>
    <s v="كتاب فن الكلام الرقمي"/>
    <n v="1"/>
    <n v="49"/>
    <s v="mada"/>
    <s v="تم التنفيذ"/>
    <s v="الباحة"/>
    <s v="+966"/>
    <s v="mobile"/>
    <s v=""/>
    <s v="عبد الحكيم الغامدي"/>
    <x v="1"/>
  </r>
  <r>
    <n v="233160485"/>
    <d v="2026-01-31T12:40:07"/>
    <d v="2026-01-31T00:00:00"/>
    <x v="0"/>
    <n v="12"/>
    <s v="السبت"/>
    <s v="كتاب فن الكلام الرقمي"/>
    <n v="1"/>
    <n v="49"/>
    <s v="mada"/>
    <s v="تم التنفيذ"/>
    <s v="احد المسارحة"/>
    <s v="+966"/>
    <s v="mobile"/>
    <s v=""/>
    <s v="وصايف دغريري"/>
    <x v="0"/>
  </r>
  <r>
    <n v="233934906"/>
    <d v="2026-02-03T00:20:11"/>
    <d v="2026-02-03T00:00:00"/>
    <x v="1"/>
    <n v="0"/>
    <s v="الثلاثاء"/>
    <s v="كتاب فن الكلام الرقمي"/>
    <n v="1"/>
    <n v="49"/>
    <s v="mada"/>
    <s v="تم التنفيذ"/>
    <s v="جدة"/>
    <s v="+966"/>
    <s v="mobile"/>
    <s v=""/>
    <s v="مريم ذياب"/>
    <x v="0"/>
  </r>
  <r>
    <n v="234966621"/>
    <d v="2026-02-07T09:45:09"/>
    <d v="2026-02-07T00:00:00"/>
    <x v="1"/>
    <n v="9"/>
    <s v="السبت"/>
    <s v="كتاب فن الكلام الرقمي"/>
    <n v="1"/>
    <n v="49"/>
    <s v="mada"/>
    <s v="تم التنفيذ"/>
    <s v="الرياض"/>
    <s v="+966"/>
    <s v="mobile"/>
    <s v=""/>
    <s v="سند"/>
    <x v="1"/>
  </r>
  <r>
    <n v="235005912"/>
    <d v="2026-02-07T14:18:28"/>
    <d v="2026-02-07T00:00:00"/>
    <x v="1"/>
    <n v="14"/>
    <s v="السبت"/>
    <s v="كتاب فن الكلام الرقمي"/>
    <n v="1"/>
    <n v="49"/>
    <s v="mada"/>
    <s v="تم التنفيذ"/>
    <s v="مكة المكرمة"/>
    <s v="+966"/>
    <s v="mobile"/>
    <s v=""/>
    <s v="خلود"/>
    <x v="0"/>
  </r>
  <r>
    <n v="235043169"/>
    <d v="2026-02-07T17:03:39"/>
    <d v="2026-02-07T00:00:00"/>
    <x v="1"/>
    <n v="17"/>
    <s v="السبت"/>
    <s v="كتاب فن الكلام الرقمي"/>
    <n v="1"/>
    <n v="49"/>
    <s v="credit_card"/>
    <s v="تم التنفيذ"/>
    <s v="مكة المكرمة"/>
    <s v="+966"/>
    <s v="mobile"/>
    <s v=""/>
    <s v="بورهان"/>
    <x v="1"/>
  </r>
  <r>
    <n v="235158472"/>
    <d v="2026-02-08T01:00:25"/>
    <d v="2026-02-08T00:00:00"/>
    <x v="1"/>
    <n v="1"/>
    <s v="الأحد"/>
    <s v="كتاب فن الكلام الرقمي"/>
    <n v="1"/>
    <n v="49"/>
    <s v="mada"/>
    <s v="تم التنفيذ"/>
    <s v="الرياض"/>
    <s v="+966"/>
    <s v="mobile"/>
    <s v=""/>
    <s v="هشام"/>
    <x v="1"/>
  </r>
  <r>
    <n v="235257874"/>
    <d v="2026-02-08T15:03:07"/>
    <d v="2026-02-08T00:00:00"/>
    <x v="1"/>
    <n v="15"/>
    <s v="الأحد"/>
    <s v="كتاب فن الكلام الرقمي"/>
    <n v="1"/>
    <n v="49"/>
    <s v="credit_card"/>
    <s v="تم التنفيذ"/>
    <s v="الرياض"/>
    <s v="+965"/>
    <s v="mobile"/>
    <s v=""/>
    <s v="سا إيج"/>
    <x v="1"/>
  </r>
  <r>
    <n v="235270603"/>
    <d v="2026-02-08T16:08:28"/>
    <d v="2026-02-08T00:00:00"/>
    <x v="1"/>
    <n v="16"/>
    <s v="الأحد"/>
    <s v="كتاب فن الكلام الرقمي"/>
    <n v="1"/>
    <n v="49"/>
    <s v="mada"/>
    <s v="تم التنفيذ"/>
    <s v="جدة"/>
    <s v="+966"/>
    <s v="mobile"/>
    <s v=""/>
    <s v="محمد"/>
    <x v="1"/>
  </r>
  <r>
    <n v="235349566"/>
    <d v="2026-02-08T21:37:12"/>
    <d v="2026-02-08T00:00:00"/>
    <x v="1"/>
    <n v="21"/>
    <s v="الأحد"/>
    <s v="كتاب فن الكلام الرقمي"/>
    <n v="1"/>
    <n v="49"/>
    <s v="mada"/>
    <s v="تم التنفيذ"/>
    <s v="تبوك"/>
    <s v="+966"/>
    <s v="mobile"/>
    <s v=""/>
    <s v="راغد"/>
    <x v="1"/>
  </r>
  <r>
    <n v="235957955"/>
    <d v="2026-02-11T08:38:18"/>
    <d v="2026-02-11T00:00:00"/>
    <x v="1"/>
    <n v="8"/>
    <s v="الأربعاء"/>
    <s v="كتاب فن الكلام الرقمي"/>
    <n v="1"/>
    <n v="49"/>
    <s v="mada"/>
    <s v="تم التنفيذ"/>
    <s v="جدة"/>
    <s v="+966"/>
    <s v="mobile"/>
    <s v=""/>
    <s v="محمد زيارة"/>
    <x v="1"/>
  </r>
  <r>
    <n v="235967970"/>
    <d v="2026-02-11T10:09:37"/>
    <d v="2026-02-11T00:00:00"/>
    <x v="1"/>
    <n v="10"/>
    <s v="الأربعاء"/>
    <s v="كتاب فن الكلام الرقمي"/>
    <n v="1"/>
    <n v="49"/>
    <s v="mada"/>
    <s v="تم التنفيذ"/>
    <s v="الدمام"/>
    <s v="+966"/>
    <s v="mobile"/>
    <s v=""/>
    <s v="عبدالله"/>
    <x v="1"/>
  </r>
  <r>
    <n v="235973074"/>
    <d v="2026-02-11T10:51:37"/>
    <d v="2026-02-11T00:00:00"/>
    <x v="1"/>
    <n v="10"/>
    <s v="الأربعاء"/>
    <s v="كتاب فن الكلام الرقمي"/>
    <n v="1"/>
    <n v="49"/>
    <s v="credit_card"/>
    <s v="تم التنفيذ"/>
    <s v="جدة"/>
    <s v="+966"/>
    <s v="mobile"/>
    <s v=""/>
    <s v="ريان جلال"/>
    <x v="1"/>
  </r>
  <r>
    <n v="235998766"/>
    <d v="2026-02-11T13:49:25"/>
    <d v="2026-02-11T00:00:00"/>
    <x v="1"/>
    <n v="13"/>
    <s v="الأربعاء"/>
    <s v="كتاب فن الكلام الرقمي"/>
    <n v="1"/>
    <n v="48.97"/>
    <s v="credit_card"/>
    <s v="تم التنفيذ"/>
    <s v="إزكي"/>
    <s v="+968"/>
    <s v="mobile"/>
    <s v=""/>
    <s v="العزري محمد"/>
    <x v="1"/>
  </r>
  <r>
    <n v="236015606"/>
    <d v="2026-02-11T15:19:51"/>
    <d v="2026-02-11T00:00:00"/>
    <x v="1"/>
    <n v="15"/>
    <s v="الأربعاء"/>
    <s v="كتاب فن الكلام الرقمي"/>
    <n v="1"/>
    <n v="49"/>
    <s v="mada"/>
    <s v="تم التنفيذ"/>
    <s v="لعصان"/>
    <s v="+966"/>
    <s v="mobile"/>
    <s v=""/>
    <s v="وليد القحطاني"/>
    <x v="1"/>
  </r>
  <r>
    <n v="236084542"/>
    <d v="2026-02-11T20:15:25"/>
    <d v="2026-02-11T00:00:00"/>
    <x v="1"/>
    <n v="20"/>
    <s v="الأربعاء"/>
    <s v="كتاب فن الكلام الرقمي"/>
    <n v="1"/>
    <n v="49"/>
    <s v="mada"/>
    <s v="تم التنفيذ"/>
    <s v="جدة"/>
    <s v="+966"/>
    <s v="mobile"/>
    <s v=""/>
    <s v="محسن"/>
    <x v="1"/>
  </r>
  <r>
    <n v="238413078"/>
    <d v="2026-02-16T11:03:41"/>
    <d v="2026-02-16T00:00:00"/>
    <x v="1"/>
    <n v="11"/>
    <s v="الإثنين"/>
    <s v="كتاب فن الكلام الرقمي"/>
    <n v="1"/>
    <n v="49"/>
    <s v="mada"/>
    <s v="تم التنفيذ"/>
    <s v="بحرة"/>
    <s v="+966"/>
    <s v="mobile"/>
    <s v=""/>
    <s v="بادر كيو"/>
    <x v="1"/>
  </r>
  <r>
    <n v="238937665"/>
    <d v="2026-02-18T22:42:28"/>
    <d v="2026-02-18T00:00:00"/>
    <x v="1"/>
    <n v="22"/>
    <s v="الأربعاء"/>
    <s v="كتاب فن الكلام الرقمي"/>
    <n v="1"/>
    <n v="49"/>
    <s v="mada"/>
    <s v="تم التنفيذ"/>
    <s v="الجبيل"/>
    <s v="+966"/>
    <s v="mobile"/>
    <s v=""/>
    <s v="خالد"/>
    <x v="1"/>
  </r>
  <r>
    <n v="240476147"/>
    <d v="2026-02-23T13:56:36"/>
    <d v="2026-02-23T00:00:00"/>
    <x v="1"/>
    <n v="13"/>
    <s v="الإثنين"/>
    <s v="كتاب فن الكلام الرقمي"/>
    <n v="1"/>
    <n v="49"/>
    <s v="mada"/>
    <s v="تم التنفيذ"/>
    <s v="جازان"/>
    <s v="+966"/>
    <s v="mobile"/>
    <s v=""/>
    <s v="مرضي"/>
    <x v="1"/>
  </r>
  <r>
    <n v="240949518"/>
    <d v="2026-02-24T05:42:44"/>
    <d v="2026-02-24T00:00:00"/>
    <x v="1"/>
    <n v="5"/>
    <s v="الثلاثاء"/>
    <s v="كتاب فن الكلام الرقمي"/>
    <n v="1"/>
    <n v="49"/>
    <s v="mada"/>
    <s v="تم التنفيذ"/>
    <s v="جدة"/>
    <s v="+966"/>
    <s v="mobile"/>
    <s v=""/>
    <s v="تركي"/>
    <x v="1"/>
  </r>
  <r>
    <n v="241452906"/>
    <d v="2026-02-25T04:40:40"/>
    <d v="2026-02-25T00:00:00"/>
    <x v="1"/>
    <n v="4"/>
    <s v="الأربعاء"/>
    <s v="كتاب فن الكلام الرقمي"/>
    <n v="1"/>
    <n v="49"/>
    <s v="credit_card"/>
    <s v="تم التنفيذ"/>
    <s v="الرياض"/>
    <s v="+966"/>
    <s v="mobile"/>
    <s v=""/>
    <s v="محمد"/>
    <x v="1"/>
  </r>
  <r>
    <n v="242056075"/>
    <d v="2026-02-26T11:44:06"/>
    <d v="2026-02-26T00:00:00"/>
    <x v="1"/>
    <n v="11"/>
    <s v="الخميس"/>
    <s v="كتاب فن الكلام الرقمي"/>
    <n v="1"/>
    <n v="49"/>
    <s v="mada"/>
    <s v="تم التنفيذ"/>
    <s v="الخبر"/>
    <s v="+966"/>
    <s v="mobile"/>
    <s v=""/>
    <s v="فيصل"/>
    <x v="1"/>
  </r>
  <r>
    <n v="242193924"/>
    <d v="2026-02-26T19:28:24"/>
    <d v="2026-02-26T00:00:00"/>
    <x v="1"/>
    <n v="19"/>
    <s v="الخميس"/>
    <s v="كتاب فن الكلام الرقمي"/>
    <n v="1"/>
    <n v="49"/>
    <s v="credit_card"/>
    <s v="تم التنفيذ"/>
    <s v="مكة المكرمة"/>
    <s v="+966"/>
    <s v="mobile"/>
    <s v=""/>
    <s v="احمد"/>
    <x v="1"/>
  </r>
  <r>
    <n v="242618469"/>
    <d v="2026-02-27T13:49:00"/>
    <d v="2026-02-27T00:00:00"/>
    <x v="1"/>
    <n v="13"/>
    <s v="الجمعة"/>
    <s v="كتاب فن الكلام الرقمي"/>
    <n v="1"/>
    <n v="49"/>
    <s v="mada"/>
    <s v="تم التنفيذ"/>
    <s v="الخبر"/>
    <s v="+966"/>
    <s v="mobile"/>
    <s v=""/>
    <s v="محمد"/>
    <x v="1"/>
  </r>
  <r>
    <n v="243392687"/>
    <d v="2026-03-01T03:07:20"/>
    <d v="2026-03-01T00:00:00"/>
    <x v="2"/>
    <n v="3"/>
    <s v="الأحد"/>
    <s v="كتاب فن الكلام الرقمي"/>
    <n v="1"/>
    <n v="49.03"/>
    <s v="credit_card"/>
    <s v="تم التنفيذ"/>
    <s v="الرياض"/>
    <s v="+965"/>
    <s v="mobile"/>
    <s v=""/>
    <s v="عبد المعطيري"/>
    <x v="1"/>
  </r>
  <r>
    <n v="243544695"/>
    <d v="2026-03-01T13:59:45"/>
    <d v="2026-03-01T00:00:00"/>
    <x v="2"/>
    <n v="13"/>
    <s v="الأحد"/>
    <s v="كتاب فن الكلام الرقمي"/>
    <n v="1"/>
    <n v="49"/>
    <s v="mada"/>
    <s v="تم التنفيذ"/>
    <s v="الدائر"/>
    <s v="+966"/>
    <s v="mobile"/>
    <s v=""/>
    <s v="عبدالمجيد"/>
    <x v="1"/>
  </r>
  <r>
    <n v="243833656"/>
    <d v="2026-03-02T02:20:25"/>
    <d v="2026-03-02T00:00:00"/>
    <x v="2"/>
    <n v="2"/>
    <s v="الإثنين"/>
    <s v="كتاب فن الكلام الرقمي"/>
    <n v="1"/>
    <n v="49.03"/>
    <s v="credit_card"/>
    <s v="تم التنفيذ"/>
    <s v="جاير العلي"/>
    <s v="+965"/>
    <s v="mobile"/>
    <s v=""/>
    <s v="محمد الشويب"/>
    <x v="1"/>
  </r>
  <r>
    <n v="243951041"/>
    <d v="2026-03-02T06:47:30"/>
    <d v="2026-03-02T00:00:00"/>
    <x v="2"/>
    <n v="6"/>
    <s v="الإثنين"/>
    <s v="كتاب فن الكلام الرقمي"/>
    <n v="1"/>
    <n v="49"/>
    <s v="mada"/>
    <s v="تم التنفيذ"/>
    <s v="الرياض"/>
    <s v="+966"/>
    <s v="mobile"/>
    <s v=""/>
    <s v="عبد الله عبد الله"/>
    <x v="1"/>
  </r>
  <r>
    <n v="244001166"/>
    <d v="2026-03-02T11:39:52"/>
    <d v="2026-03-02T00:00:00"/>
    <x v="2"/>
    <n v="11"/>
    <s v="الإثنين"/>
    <s v="كتاب فن الكلام الرقمي"/>
    <n v="1"/>
    <n v="49"/>
    <s v="mada"/>
    <s v="تم التنفيذ"/>
    <s v="أبها"/>
    <s v="+966"/>
    <s v="mobile"/>
    <s v=""/>
    <s v="محمد القحطاني"/>
    <x v="1"/>
  </r>
  <r>
    <n v="244401751"/>
    <d v="2026-03-03T08:05:53"/>
    <d v="2026-03-03T00:00:00"/>
    <x v="2"/>
    <n v="8"/>
    <s v="الثلاثاء"/>
    <s v="كتاب فن الكلام الرقمي"/>
    <n v="1"/>
    <n v="49"/>
    <s v="mada"/>
    <s v="تم التنفيذ"/>
    <s v="الطائف"/>
    <s v="+966"/>
    <s v="mobile"/>
    <s v=""/>
    <s v="احمد"/>
    <x v="1"/>
  </r>
  <r>
    <n v="244683772"/>
    <d v="2026-03-04T01:59:15"/>
    <d v="2026-03-04T00:00:00"/>
    <x v="2"/>
    <n v="1"/>
    <s v="الأربعاء"/>
    <s v="كتاب فن الكلام الرقمي"/>
    <n v="1"/>
    <n v="49"/>
    <s v="mada"/>
    <s v="تم التنفيذ"/>
    <s v="المدينة المنورة"/>
    <s v="+966"/>
    <s v="mobile"/>
    <s v=""/>
    <s v="حورية"/>
    <x v="0"/>
  </r>
  <r>
    <n v="244847995"/>
    <d v="2026-03-04T12:56:23"/>
    <d v="2026-03-04T00:00:00"/>
    <x v="2"/>
    <n v="12"/>
    <s v="الأربعاء"/>
    <s v="كتاب فن الكلام الرقمي"/>
    <n v="1"/>
    <n v="49"/>
    <s v="mada"/>
    <s v="تم التنفيذ"/>
    <s v="الخبر"/>
    <s v="+966"/>
    <s v="mobile"/>
    <s v=""/>
    <s v="نواف المعطيري"/>
    <x v="1"/>
  </r>
  <r>
    <n v="245207790"/>
    <d v="2026-03-05T10:09:27"/>
    <d v="2026-03-05T00:00:00"/>
    <x v="2"/>
    <n v="10"/>
    <s v="الخميس"/>
    <s v="كتاب فن الكلام الرقمي"/>
    <n v="1"/>
    <n v="49"/>
    <s v="credit_card"/>
    <s v="تم التنفيذ"/>
    <s v="الرياض"/>
    <s v="+966"/>
    <s v="mobile"/>
    <s v=""/>
    <s v="أروى"/>
    <x v="0"/>
  </r>
  <r>
    <n v="245676265"/>
    <d v="2026-03-06T19:45:23"/>
    <d v="2026-03-06T00:00:00"/>
    <x v="2"/>
    <n v="19"/>
    <s v="الجمعة"/>
    <s v="كتاب فن الكلام الرقمي"/>
    <n v="1"/>
    <n v="49"/>
    <s v="credit_card"/>
    <s v="تم التنفيذ"/>
    <s v="الرياض"/>
    <s v="+971"/>
    <s v="mobile"/>
    <s v=""/>
    <s v="سامية أحمد"/>
    <x v="0"/>
  </r>
  <r>
    <n v="245809952"/>
    <d v="2026-03-07T02:07:12"/>
    <d v="2026-03-07T00:00:00"/>
    <x v="2"/>
    <n v="2"/>
    <s v="السبت"/>
    <s v="كتاب فن الكلام الرقمي"/>
    <n v="1"/>
    <n v="49"/>
    <s v="credit_card"/>
    <s v="تم التنفيذ"/>
    <s v="رأس الخيمة"/>
    <s v="+971"/>
    <s v="mobile"/>
    <s v=""/>
    <s v="حمد سالم"/>
    <x v="1"/>
  </r>
  <r>
    <n v="245898077"/>
    <d v="2026-03-07T06:00:19"/>
    <d v="2026-03-07T00:00:00"/>
    <x v="2"/>
    <n v="6"/>
    <s v="السبت"/>
    <s v="كتاب فن الكلام الرقمي"/>
    <n v="1"/>
    <n v="49"/>
    <s v="credit_card"/>
    <s v="تم التنفيذ"/>
    <s v="الرياض"/>
    <s v="+966"/>
    <s v="mobile"/>
    <s v=""/>
    <s v="فائزة"/>
    <x v="0"/>
  </r>
  <r>
    <n v="245898084"/>
    <d v="2026-03-07T06:00:20"/>
    <d v="2026-03-07T00:00:00"/>
    <x v="2"/>
    <n v="6"/>
    <s v="السبت"/>
    <s v="كتاب فن الكلام الرقمي"/>
    <n v="1"/>
    <n v="49"/>
    <s v="mada"/>
    <s v="تم التنفيذ"/>
    <s v="الرياض"/>
    <s v="+966"/>
    <s v="mobile"/>
    <s v=""/>
    <s v="عمر"/>
    <x v="1"/>
  </r>
  <r>
    <n v="246607203"/>
    <d v="2026-03-09T07:12:01"/>
    <d v="2026-03-09T00:00:00"/>
    <x v="2"/>
    <n v="7"/>
    <s v="الإثنين"/>
    <s v="كتاب فن الكلام الرقمي"/>
    <n v="1"/>
    <n v="49"/>
    <s v="mada"/>
    <s v="تم التنفيذ"/>
    <s v="الرياض"/>
    <s v="+966"/>
    <s v="mobile"/>
    <s v=""/>
    <s v="عزام"/>
    <x v="1"/>
  </r>
  <r>
    <n v="246904995"/>
    <d v="2026-03-10T03:23:01"/>
    <d v="2026-03-10T00:00:00"/>
    <x v="2"/>
    <n v="3"/>
    <s v="الثلاثاء"/>
    <s v="كتاب فن الكلام الرقمي"/>
    <n v="1"/>
    <n v="49"/>
    <s v="mada"/>
    <s v="تم التنفيذ"/>
    <s v="الخبر"/>
    <s v="+966"/>
    <s v="mobile"/>
    <s v=""/>
    <s v="منيره"/>
    <x v="0"/>
  </r>
  <r>
    <n v="247130695"/>
    <d v="2026-03-10T20:31:15"/>
    <d v="2026-03-10T00:00:00"/>
    <x v="2"/>
    <n v="20"/>
    <s v="الثلاثاء"/>
    <s v="كتاب فن الكلام الرقمي"/>
    <n v="1"/>
    <n v="49.06"/>
    <s v="credit_card"/>
    <s v="تم التنفيذ"/>
    <s v="العيون"/>
    <s v="+965"/>
    <s v="mobile"/>
    <s v=""/>
    <s v="رومي ثاني"/>
    <x v="1"/>
  </r>
  <r>
    <n v="248471034"/>
    <d v="2026-03-15T03:30:14"/>
    <d v="2026-03-15T00:00:00"/>
    <x v="2"/>
    <n v="3"/>
    <s v="الأحد"/>
    <s v="كتاب فن الكلام الرقمي"/>
    <n v="1"/>
    <n v="49"/>
    <s v="mada"/>
    <s v="تم التنفيذ"/>
    <s v="حائل"/>
    <s v="+966"/>
    <s v="mobile"/>
    <s v=""/>
    <s v="أ أ"/>
    <x v="1"/>
  </r>
  <r>
    <n v="248899848"/>
    <d v="2026-03-16T21:29:28"/>
    <d v="2026-03-16T00:00:00"/>
    <x v="2"/>
    <n v="21"/>
    <s v="الإثنين"/>
    <s v="كتاب فن الكلام الرقمي"/>
    <n v="1"/>
    <n v="49"/>
    <s v="mada"/>
    <s v="تم التنفيذ"/>
    <s v="جدة"/>
    <s v="+966"/>
    <s v="mobile"/>
    <s v=""/>
    <s v="فراس العدواني"/>
    <x v="1"/>
  </r>
  <r>
    <n v="249077374"/>
    <d v="2026-03-17T20:04:47"/>
    <d v="2026-03-17T00:00:00"/>
    <x v="2"/>
    <n v="20"/>
    <s v="الثلاثاء"/>
    <s v="كتاب فن الكلام الرقمي"/>
    <n v="2"/>
    <n v="98"/>
    <s v="mada"/>
    <s v="تم التنفيذ"/>
    <s v="مكة المكرمة"/>
    <s v="+966"/>
    <s v="mobile"/>
    <s v=""/>
    <s v="فارس"/>
    <x v="1"/>
  </r>
  <r>
    <n v="249328529"/>
    <d v="2026-03-19T03:59:00"/>
    <d v="2026-03-19T00:00:00"/>
    <x v="2"/>
    <n v="3"/>
    <s v="الخميس"/>
    <s v="كتاب فن الكلام الرقمي"/>
    <n v="1"/>
    <n v="49"/>
    <s v="credit_card"/>
    <s v="تم التنفيذ"/>
    <s v="الهفوف والمبرز"/>
    <s v="+966"/>
    <s v="mobile"/>
    <s v=""/>
    <s v="عمر"/>
    <x v="1"/>
  </r>
  <r>
    <n v="249790568"/>
    <d v="2026-03-23T08:25:53"/>
    <d v="2026-03-23T00:00:00"/>
    <x v="2"/>
    <n v="8"/>
    <s v="الإثنين"/>
    <s v="كتاب فن الكلام الرقمي"/>
    <n v="1"/>
    <n v="49"/>
    <s v="credit_card"/>
    <s v="تم التنفيذ"/>
    <s v="رأس الخيمة"/>
    <s v="+971"/>
    <s v="mobile"/>
    <s v=""/>
    <s v="عيسى الشحي"/>
    <x v="1"/>
  </r>
  <r>
    <n v="249903083"/>
    <d v="2026-03-24T05:44:40"/>
    <d v="2026-03-24T00:00:00"/>
    <x v="2"/>
    <n v="5"/>
    <s v="الثلاثاء"/>
    <s v="كتاب فن الكلام الرقمي"/>
    <n v="1"/>
    <n v="49"/>
    <s v="mada"/>
    <s v="تم التنفيذ"/>
    <s v="جدة"/>
    <s v="+966"/>
    <s v="mobile"/>
    <s v=""/>
    <s v="عبدالله العمري"/>
    <x v="1"/>
  </r>
  <r>
    <n v="250192129"/>
    <d v="2026-03-26T02:26:09"/>
    <d v="2026-03-26T00:00:00"/>
    <x v="2"/>
    <n v="2"/>
    <s v="الخميس"/>
    <s v="كتاب فن الكلام الرقمي"/>
    <n v="1"/>
    <n v="49.01"/>
    <s v="credit_card"/>
    <s v="تم التنفيذ"/>
    <s v="صباح الأحمد"/>
    <s v="+965"/>
    <s v="mobile"/>
    <s v=""/>
    <s v="عبدالله العتيبي"/>
    <x v="1"/>
  </r>
  <r>
    <n v="250376887"/>
    <d v="2026-03-26T20:54:20"/>
    <d v="2026-03-26T00:00:00"/>
    <x v="2"/>
    <n v="20"/>
    <s v="الخميس"/>
    <s v="كتاب فن الكلام الرقمي"/>
    <n v="1"/>
    <n v="49"/>
    <s v="mada"/>
    <s v="تم التنفيذ"/>
    <s v="الرياض"/>
    <s v="+966"/>
    <s v="mobile"/>
    <s v=""/>
    <s v="نواف الرشيد"/>
    <x v="1"/>
  </r>
  <r>
    <n v="252483499"/>
    <d v="2026-04-05T10:16:07"/>
    <d v="2026-04-05T00:00:00"/>
    <x v="3"/>
    <n v="10"/>
    <s v="الأحد"/>
    <s v="كتاب فن الكلام الرقمي"/>
    <n v="1"/>
    <n v="49"/>
    <s v="mada"/>
    <s v="تم التنفيذ"/>
    <s v="الرياض"/>
    <s v="+966"/>
    <s v="mobile"/>
    <s v=""/>
    <s v="فارس"/>
    <x v="1"/>
  </r>
  <r>
    <n v="252711659"/>
    <d v="2026-04-06T13:47:21"/>
    <d v="2026-04-06T00:00:00"/>
    <x v="3"/>
    <n v="13"/>
    <s v="الإثنين"/>
    <s v="كتاب فن الكلام الرقمي"/>
    <n v="1"/>
    <n v="49"/>
    <s v="credit_card"/>
    <s v="تم التنفيذ"/>
    <s v="الرياض"/>
    <s v="+971"/>
    <s v="mobile"/>
    <s v=""/>
    <s v="حمد س"/>
    <x v="1"/>
  </r>
  <r>
    <n v="252855834"/>
    <d v="2026-04-07T05:36:06"/>
    <d v="2026-04-07T00:00:00"/>
    <x v="3"/>
    <n v="5"/>
    <s v="الثلاثاء"/>
    <s v="كتاب فن الكلام الرقمي"/>
    <n v="1"/>
    <n v="49"/>
    <s v="mada"/>
    <s v="تم التنفيذ"/>
    <s v="الرياض"/>
    <s v="+966"/>
    <s v="mobile"/>
    <s v=""/>
    <s v="منيره"/>
    <x v="0"/>
  </r>
  <r>
    <n v="253596994"/>
    <d v="2026-04-11T07:17:42"/>
    <d v="2026-04-11T00:00:00"/>
    <x v="3"/>
    <n v="7"/>
    <s v="السبت"/>
    <s v="كتاب فن الكلام الرقمي"/>
    <n v="1"/>
    <n v="49"/>
    <s v="mada"/>
    <s v="تم التنفيذ"/>
    <s v="الرياض"/>
    <s v="+966"/>
    <s v="mobile"/>
    <s v=""/>
    <s v="اسامه السبر"/>
    <x v="1"/>
  </r>
  <r>
    <n v="253762922"/>
    <d v="2026-04-12T04:06:39"/>
    <d v="2026-04-12T00:00:00"/>
    <x v="3"/>
    <n v="4"/>
    <s v="الأحد"/>
    <s v="كتاب فن الكلام الرقمي"/>
    <n v="1"/>
    <n v="49"/>
    <s v="mada"/>
    <s v="تم التنفيذ"/>
    <s v="جدة"/>
    <s v="+966"/>
    <s v="mobile"/>
    <s v=""/>
    <s v="خالد مو"/>
    <x v="1"/>
  </r>
  <r>
    <n v="253765905"/>
    <d v="2026-04-12T05:02:41"/>
    <d v="2026-04-12T00:00:00"/>
    <x v="3"/>
    <n v="5"/>
    <s v="الأحد"/>
    <s v="كتاب فن الكلام الرقمي"/>
    <n v="1"/>
    <n v="49"/>
    <s v="mada"/>
    <s v="تم التنفيذ"/>
    <s v="القويعية"/>
    <s v="+966"/>
    <s v="mobile"/>
    <s v=""/>
    <s v="أديب"/>
    <x v="1"/>
  </r>
  <r>
    <n v="255019856"/>
    <d v="2026-04-20T05:17:30"/>
    <d v="2026-04-20T00:00:00"/>
    <x v="3"/>
    <n v="5"/>
    <s v="الإثنين"/>
    <s v="كتاب فن الكلام الرقمي"/>
    <n v="1"/>
    <n v="49"/>
    <s v="mada"/>
    <s v="تم التنفيذ"/>
    <s v="القطيف"/>
    <s v="+966"/>
    <s v="mobile"/>
    <s v=""/>
    <s v="ريان القديحي"/>
    <x v="1"/>
  </r>
  <r>
    <n v="255167134"/>
    <d v="2026-04-21T05:17:33"/>
    <d v="2026-04-21T00:00:00"/>
    <x v="3"/>
    <n v="5"/>
    <s v="الثلاثاء"/>
    <s v="كتاب فن الكلام الرقمي"/>
    <n v="1"/>
    <n v="49"/>
    <s v="credit_card"/>
    <s v="تم التنفيذ"/>
    <s v="صفوى"/>
    <s v="+966"/>
    <s v="mobile"/>
    <s v=""/>
    <s v="عبدالله"/>
    <x v="1"/>
  </r>
  <r>
    <n v="255221897"/>
    <d v="2026-04-21T16:31:37"/>
    <d v="2026-04-21T00:00:00"/>
    <x v="3"/>
    <n v="16"/>
    <s v="الثلاثاء"/>
    <s v="كتاب فن الكلام الرقمي"/>
    <n v="1"/>
    <n v="49"/>
    <s v="credit_card"/>
    <s v="تم التنفيذ"/>
    <s v="الدمام"/>
    <s v="+966"/>
    <s v="mobile"/>
    <s v=""/>
    <s v="عبدالعزيز"/>
    <x v="1"/>
  </r>
  <r>
    <n v="255866334"/>
    <d v="2026-04-26T04:04:25"/>
    <d v="2026-04-26T00:00:00"/>
    <x v="3"/>
    <n v="4"/>
    <s v="الأحد"/>
    <s v="كتاب فن الكلام الرقمي"/>
    <n v="1"/>
    <n v="49"/>
    <s v="tamara_installment"/>
    <s v="تم التنفيذ"/>
    <s v="بقيق"/>
    <s v="+966"/>
    <s v="mobile"/>
    <s v=""/>
    <s v="عطية"/>
    <x v="1"/>
  </r>
  <r>
    <n v="256408722"/>
    <d v="2026-04-28T13:42:01"/>
    <d v="2026-04-28T00:00:00"/>
    <x v="3"/>
    <n v="13"/>
    <s v="الثلاثاء"/>
    <s v="كتاب فن الكلام الرقمي"/>
    <n v="1"/>
    <n v="49"/>
    <s v="mada"/>
    <s v="تم التنفيذ"/>
    <s v="أبو عريش"/>
    <s v="+966"/>
    <s v="mobile"/>
    <s v=""/>
    <s v="المنذر"/>
    <x v="1"/>
  </r>
  <r>
    <n v="257640660"/>
    <d v="2026-05-03T11:43:57"/>
    <d v="2026-05-03T00:00:00"/>
    <x v="4"/>
    <n v="11"/>
    <s v="الأحد"/>
    <s v="كتاب فن الكلام الرقمي"/>
    <n v="1"/>
    <n v="49"/>
    <s v="mada"/>
    <s v="تم التنفيذ"/>
    <s v="الرياض"/>
    <s v="+966"/>
    <s v="mobile"/>
    <s v=""/>
    <s v="أحمد"/>
    <x v="1"/>
  </r>
  <r>
    <n v="258237209"/>
    <d v="2026-05-05T23:55:31"/>
    <d v="2026-05-05T00:00:00"/>
    <x v="4"/>
    <n v="23"/>
    <s v="الثلاثاء"/>
    <s v="كتاب فن الكلام الرقمي"/>
    <n v="1"/>
    <n v="49"/>
    <s v="mada"/>
    <s v="تم التنفيذ"/>
    <s v="مكة المكرمة"/>
    <s v="+966"/>
    <s v="mobile"/>
    <s v=""/>
    <s v="فارس"/>
    <x v="1"/>
  </r>
  <r>
    <n v="258281061"/>
    <d v="2026-05-06T06:36:37"/>
    <d v="2026-05-06T00:00:00"/>
    <x v="4"/>
    <n v="6"/>
    <s v="الأربعاء"/>
    <s v="كتاب فن الكلام الرقمي"/>
    <n v="1"/>
    <n v="49"/>
    <s v="mada"/>
    <s v="تم التنفيذ"/>
    <s v="المدينة المنورة"/>
    <s v="+966"/>
    <s v="mobile"/>
    <s v=""/>
    <s v="باسل الحربي"/>
    <x v="1"/>
  </r>
  <r>
    <n v="258292042"/>
    <d v="2026-05-06T08:42:56"/>
    <d v="2026-05-06T00:00:00"/>
    <x v="4"/>
    <n v="8"/>
    <s v="الأربعاء"/>
    <s v="كتاب فن الكلام الرقمي"/>
    <n v="1"/>
    <n v="49"/>
    <s v="credit_card"/>
    <s v="تم التنفيذ"/>
    <s v="الظهران"/>
    <s v="+966"/>
    <s v="mobile"/>
    <s v=""/>
    <s v="خالد"/>
    <x v="1"/>
  </r>
  <r>
    <n v="258310313"/>
    <d v="2026-05-06T11:35:58"/>
    <d v="2026-05-06T00:00:00"/>
    <x v="4"/>
    <n v="11"/>
    <s v="الأربعاء"/>
    <s v="كتاب فن الكلام الرقمي"/>
    <n v="1"/>
    <n v="49"/>
    <s v="credit_card"/>
    <s v="تم التنفيذ"/>
    <s v="الرياض"/>
    <s v="+966"/>
    <s v="mobile"/>
    <s v=""/>
    <s v="عبد الله الجار الله"/>
    <x v="1"/>
  </r>
  <r>
    <n v="258311892"/>
    <d v="2026-05-06T11:48:26"/>
    <d v="2026-05-06T00:00:00"/>
    <x v="4"/>
    <n v="11"/>
    <s v="الأربعاء"/>
    <s v="كتاب فن الكلام الرقمي"/>
    <n v="1"/>
    <n v="49"/>
    <s v="apple_pay"/>
    <s v="تم التنفيذ"/>
    <s v="الدمام"/>
    <s v="+966"/>
    <s v="mobile"/>
    <s v=""/>
    <s v="زهرة عسكر أسكار"/>
    <x v="0"/>
  </r>
  <r>
    <n v="258334597"/>
    <d v="2026-05-06T14:24:06"/>
    <d v="2026-05-06T00:00:00"/>
    <x v="4"/>
    <n v="14"/>
    <s v="الأربعاء"/>
    <s v="كتاب فن الكلام الرقمي"/>
    <n v="1"/>
    <n v="49"/>
    <s v="mada"/>
    <s v="تم التنفيذ"/>
    <s v="جدة"/>
    <s v="+966"/>
    <s v="mobile"/>
    <s v=""/>
    <s v="سعود"/>
    <x v="1"/>
  </r>
  <r>
    <n v="258349458"/>
    <d v="2026-05-06T15:55:00"/>
    <d v="2026-05-06T00:00:00"/>
    <x v="4"/>
    <n v="15"/>
    <s v="الأربعاء"/>
    <s v="كتاب فن الكلام الرقمي"/>
    <n v="1"/>
    <n v="49"/>
    <s v="mada"/>
    <s v="تم التنفيذ"/>
    <s v="الرياض"/>
    <s v="+966"/>
    <s v="mobile"/>
    <s v=""/>
    <s v="فايز"/>
    <x v="1"/>
  </r>
  <r>
    <n v="258407655"/>
    <d v="2026-05-06T21:01:58"/>
    <d v="2026-05-06T00:00:00"/>
    <x v="4"/>
    <n v="21"/>
    <s v="الأربعاء"/>
    <s v="كتاب فن الكلام الرقمي"/>
    <n v="1"/>
    <n v="49"/>
    <s v="tamara_installment"/>
    <s v="تم التنفيذ"/>
    <s v="المدينة المنورة"/>
    <s v="+966"/>
    <s v="mobile"/>
    <s v=""/>
    <s v="الحربي عبدالرحمن"/>
    <x v="1"/>
  </r>
  <r>
    <n v="258465402"/>
    <d v="2026-05-07T02:16:24"/>
    <d v="2026-05-07T00:00:00"/>
    <x v="4"/>
    <n v="2"/>
    <s v="الخميس"/>
    <s v="كتاب فن الكلام الرقمي"/>
    <n v="1"/>
    <n v="49"/>
    <s v="credit_card"/>
    <s v="تم التنفيذ"/>
    <s v="جدة"/>
    <s v="+966"/>
    <s v="mobile"/>
    <s v=""/>
    <s v="أ م"/>
    <x v="1"/>
  </r>
  <r>
    <n v="258539641"/>
    <d v="2026-05-07T14:41:22"/>
    <d v="2026-05-07T00:00:00"/>
    <x v="4"/>
    <n v="14"/>
    <s v="الخميس"/>
    <s v="كتاب فن الكلام الرقمي"/>
    <n v="1"/>
    <n v="49"/>
    <s v="mada"/>
    <s v="تم التنفيذ"/>
    <s v="القريات"/>
    <s v="+966"/>
    <s v="mobile"/>
    <s v=""/>
    <s v="فيصل الشمري"/>
    <x v="1"/>
  </r>
  <r>
    <n v="258545800"/>
    <d v="2026-05-07T15:21:31"/>
    <d v="2026-05-07T00:00:00"/>
    <x v="4"/>
    <n v="15"/>
    <s v="الخميس"/>
    <s v="كتاب فن الكلام الرقمي"/>
    <n v="1"/>
    <n v="49"/>
    <s v="mada"/>
    <s v="تم التنفيذ"/>
    <s v="جدة"/>
    <s v="+966"/>
    <s v="mobile"/>
    <s v=""/>
    <s v="خالد"/>
    <x v="1"/>
  </r>
  <r>
    <n v="258547502"/>
    <d v="2026-05-07T15:32:41"/>
    <d v="2026-05-07T00:00:00"/>
    <x v="4"/>
    <n v="15"/>
    <s v="الخميس"/>
    <s v="كتاب فن الكلام الرقمي"/>
    <n v="1"/>
    <n v="49"/>
    <s v="mada"/>
    <s v="تم التنفيذ"/>
    <s v="الرياض"/>
    <s v="+966"/>
    <s v="mobile"/>
    <s v=""/>
    <s v="صالح"/>
    <x v="1"/>
  </r>
  <r>
    <n v="258592653"/>
    <d v="2026-05-07T20:08:47"/>
    <d v="2026-05-07T00:00:00"/>
    <x v="4"/>
    <n v="20"/>
    <s v="الخميس"/>
    <s v="كتاب فن الكلام الرقمي"/>
    <n v="1"/>
    <n v="49"/>
    <s v="credit_card"/>
    <s v="تم التنفيذ"/>
    <s v="الرياض"/>
    <s v="+966"/>
    <s v="mobile"/>
    <s v=""/>
    <s v="عبدالكريم العتيبي"/>
    <x v="1"/>
  </r>
  <r>
    <n v="258637334"/>
    <d v="2026-05-08T00:38:41"/>
    <d v="2026-05-08T00:00:00"/>
    <x v="4"/>
    <n v="0"/>
    <s v="الجمعة"/>
    <s v="كتاب الذكاء الإجتماعي الرقمي"/>
    <n v="1"/>
    <n v="49"/>
    <s v="mada"/>
    <s v="تم التنفيذ"/>
    <s v="الطائف"/>
    <s v="+966"/>
    <s v="mobile"/>
    <s v=""/>
    <s v="محمد زميع"/>
    <x v="1"/>
  </r>
  <r>
    <n v="258637334"/>
    <d v="2026-05-08T00:38:41"/>
    <d v="2026-05-08T00:00:00"/>
    <x v="4"/>
    <n v="0"/>
    <s v="الجمعة"/>
    <s v="كتاب فن الكلام الرقمي"/>
    <n v="1"/>
    <n v="49"/>
    <s v="mada"/>
    <s v="تم التنفيذ"/>
    <s v="الطائف"/>
    <s v="+966"/>
    <s v="mobile"/>
    <s v=""/>
    <s v="محمد زميع"/>
    <x v="1"/>
  </r>
  <r>
    <n v="258637334"/>
    <d v="2026-05-08T00:38:41"/>
    <d v="2026-05-08T00:00:00"/>
    <x v="4"/>
    <n v="0"/>
    <s v="الجمعة"/>
    <s v="كتاب فن الإقناع الرقمي"/>
    <n v="1"/>
    <n v="49"/>
    <s v="mada"/>
    <s v="تم التنفيذ"/>
    <s v="الطائف"/>
    <s v="+966"/>
    <s v="mobile"/>
    <s v=""/>
    <s v="محمد زميع"/>
    <x v="1"/>
  </r>
  <r>
    <n v="258638072"/>
    <d v="2026-05-08T00:43:23"/>
    <d v="2026-05-08T00:00:00"/>
    <x v="4"/>
    <n v="0"/>
    <s v="الجمعة"/>
    <s v="كتاب فن الإقناع الرقمي"/>
    <n v="1"/>
    <n v="49"/>
    <s v="mada"/>
    <s v="تم التنفيذ"/>
    <s v="كويكبة"/>
    <s v="+966"/>
    <s v="mobile"/>
    <s v=""/>
    <s v="سعد مشعل"/>
    <x v="1"/>
  </r>
  <r>
    <n v="258638072"/>
    <d v="2026-05-08T00:43:23"/>
    <d v="2026-05-08T00:00:00"/>
    <x v="4"/>
    <n v="0"/>
    <s v="الجمعة"/>
    <s v="كتاب فن الكلام الرقمي"/>
    <n v="1"/>
    <n v="49"/>
    <s v="mada"/>
    <s v="تم التنفيذ"/>
    <s v="كويكبة"/>
    <s v="+966"/>
    <s v="mobile"/>
    <s v=""/>
    <s v="سعد مشعل"/>
    <x v="1"/>
  </r>
  <r>
    <n v="258638072"/>
    <d v="2026-05-08T00:43:23"/>
    <d v="2026-05-08T00:00:00"/>
    <x v="4"/>
    <n v="0"/>
    <s v="الجمعة"/>
    <s v="كتاب الذكاء الإجتماعي الرقمي"/>
    <n v="1"/>
    <n v="49"/>
    <s v="mada"/>
    <s v="تم التنفيذ"/>
    <s v="كويكبة"/>
    <s v="+966"/>
    <s v="mobile"/>
    <s v=""/>
    <s v="سعد مشعل"/>
    <x v="1"/>
  </r>
  <r>
    <n v="258642196"/>
    <d v="2026-05-08T01:11:13"/>
    <d v="2026-05-08T00:00:00"/>
    <x v="4"/>
    <n v="1"/>
    <s v="الجمعة"/>
    <s v="كتاب فن الكلام الرقمي"/>
    <n v="1"/>
    <n v="49"/>
    <s v="mada"/>
    <s v="تم التنفيذ"/>
    <s v="الرياض"/>
    <s v="+966"/>
    <s v="mobile"/>
    <s v=""/>
    <s v="عبدالله القرني"/>
    <x v="1"/>
  </r>
  <r>
    <n v="258657528"/>
    <d v="2026-05-08T03:17:28"/>
    <d v="2026-05-08T00:00:00"/>
    <x v="4"/>
    <n v="3"/>
    <s v="الجمعة"/>
    <s v="كتاب الذكاء الإجتماعي الرقمي"/>
    <n v="1"/>
    <n v="49"/>
    <s v="mada"/>
    <s v="تم التنفيذ"/>
    <s v="الرياض"/>
    <s v="+966"/>
    <s v="mobile"/>
    <s v=""/>
    <s v="مبارك شجاع"/>
    <x v="1"/>
  </r>
  <r>
    <n v="258657528"/>
    <d v="2026-05-08T03:17:28"/>
    <d v="2026-05-08T00:00:00"/>
    <x v="4"/>
    <n v="3"/>
    <s v="الجمعة"/>
    <s v="كتاب فن الإقناع الرقمي"/>
    <n v="1"/>
    <n v="49"/>
    <s v="mada"/>
    <s v="تم التنفيذ"/>
    <s v="الرياض"/>
    <s v="+966"/>
    <s v="mobile"/>
    <s v=""/>
    <s v="مبارك شجاع"/>
    <x v="1"/>
  </r>
  <r>
    <n v="258657528"/>
    <d v="2026-05-08T03:17:28"/>
    <d v="2026-05-08T00:00:00"/>
    <x v="4"/>
    <n v="3"/>
    <s v="الجمعة"/>
    <s v="كتاب فن الكلام الرقمي"/>
    <n v="1"/>
    <n v="49"/>
    <s v="mada"/>
    <s v="تم التنفيذ"/>
    <s v="الرياض"/>
    <s v="+966"/>
    <s v="mobile"/>
    <s v=""/>
    <s v="مبارك شجاع"/>
    <x v="1"/>
  </r>
  <r>
    <n v="258661382"/>
    <d v="2026-05-08T03:59:54"/>
    <d v="2026-05-08T00:00:00"/>
    <x v="4"/>
    <n v="3"/>
    <s v="الجمعة"/>
    <s v="كتاب فن الكلام الرقمي"/>
    <n v="1"/>
    <n v="49"/>
    <s v="tamara_installment"/>
    <s v="تم التنفيذ"/>
    <s v="ابو عريش"/>
    <s v="+966"/>
    <s v="mobile"/>
    <s v=""/>
    <s v="مازن محمد"/>
    <x v="1"/>
  </r>
  <r>
    <n v="258667830"/>
    <d v="2026-05-08T05:29:54"/>
    <d v="2026-05-08T00:00:00"/>
    <x v="4"/>
    <n v="5"/>
    <s v="الجمعة"/>
    <s v="كتاب فن الإقناع الرقمي"/>
    <n v="1"/>
    <n v="49"/>
    <s v="mada"/>
    <s v="تم التنفيذ"/>
    <s v="أبها"/>
    <s v="+966"/>
    <s v="mobile"/>
    <s v=""/>
    <s v="حسام محمد"/>
    <x v="1"/>
  </r>
  <r>
    <n v="258667830"/>
    <d v="2026-05-08T05:29:54"/>
    <d v="2026-05-08T00:00:00"/>
    <x v="4"/>
    <n v="5"/>
    <s v="الجمعة"/>
    <s v="كتاب فن الكلام الرقمي"/>
    <n v="1"/>
    <n v="49"/>
    <s v="mada"/>
    <s v="تم التنفيذ"/>
    <s v="أبها"/>
    <s v="+966"/>
    <s v="mobile"/>
    <s v=""/>
    <s v="حسام محمد"/>
    <x v="1"/>
  </r>
  <r>
    <n v="258667830"/>
    <d v="2026-05-08T05:29:54"/>
    <d v="2026-05-08T00:00:00"/>
    <x v="4"/>
    <n v="5"/>
    <s v="الجمعة"/>
    <s v="كتاب الذكاء الإجتماعي الرقمي"/>
    <n v="1"/>
    <n v="49"/>
    <s v="mada"/>
    <s v="تم التنفيذ"/>
    <s v="أبها"/>
    <s v="+966"/>
    <s v="mobile"/>
    <s v=""/>
    <s v="حسام محمد"/>
    <x v="1"/>
  </r>
  <r>
    <n v="258674524"/>
    <d v="2026-05-08T07:37:06"/>
    <d v="2026-05-08T00:00:00"/>
    <x v="4"/>
    <n v="7"/>
    <s v="الجمعة"/>
    <s v="كتاب الذكاء الإجتماعي الرقمي"/>
    <n v="1"/>
    <n v="49"/>
    <s v="mada"/>
    <s v="تم التنفيذ"/>
    <s v="الرياض"/>
    <s v="+966"/>
    <s v="mobile"/>
    <s v=""/>
    <s v="محمد"/>
    <x v="1"/>
  </r>
  <r>
    <n v="258674524"/>
    <d v="2026-05-08T07:37:06"/>
    <d v="2026-05-08T00:00:00"/>
    <x v="4"/>
    <n v="7"/>
    <s v="الجمعة"/>
    <s v="كتاب فن الكلام الرقمي"/>
    <n v="1"/>
    <n v="49"/>
    <s v="mada"/>
    <s v="تم التنفيذ"/>
    <s v="الرياض"/>
    <s v="+966"/>
    <s v="mobile"/>
    <s v=""/>
    <s v="محمد"/>
    <x v="1"/>
  </r>
  <r>
    <n v="258687224"/>
    <d v="2026-05-08T10:58:21"/>
    <d v="2026-05-08T00:00:00"/>
    <x v="4"/>
    <n v="10"/>
    <s v="الجمعة"/>
    <s v="كتاب فن الكلام الرقمي"/>
    <n v="1"/>
    <n v="49"/>
    <s v="tamara_installment"/>
    <s v="تم التنفيذ"/>
    <s v="الرياض"/>
    <s v="+966"/>
    <s v="mobile"/>
    <s v=""/>
    <s v="عبدالله"/>
    <x v="1"/>
  </r>
  <r>
    <n v="258701915"/>
    <d v="2026-05-08T13:03:42"/>
    <d v="2026-05-08T00:00:00"/>
    <x v="4"/>
    <n v="13"/>
    <s v="الجمعة"/>
    <s v="كتاب فن الكلام الرقمي"/>
    <n v="1"/>
    <n v="49"/>
    <s v="mada"/>
    <s v="تم التنفيذ"/>
    <s v="حائل"/>
    <s v="+966"/>
    <s v="mobile"/>
    <s v=""/>
    <s v="فهدة"/>
    <x v="0"/>
  </r>
  <r>
    <n v="258838227"/>
    <d v="2026-05-09T02:09:59"/>
    <d v="2026-05-09T00:00:00"/>
    <x v="4"/>
    <n v="2"/>
    <s v="السبت"/>
    <s v="كتاب فن الكلام الرقمي"/>
    <n v="1"/>
    <n v="49"/>
    <s v="mada"/>
    <s v="تم التنفيذ"/>
    <s v="جدة"/>
    <s v="+966"/>
    <s v="mobile"/>
    <s v=""/>
    <s v="خلود"/>
    <x v="0"/>
  </r>
  <r>
    <n v="258890630"/>
    <d v="2026-05-09T13:04:40"/>
    <d v="2026-05-09T00:00:00"/>
    <x v="4"/>
    <n v="13"/>
    <s v="السبت"/>
    <s v="كتاب فن الكلام الرقمي"/>
    <n v="1"/>
    <n v="49"/>
    <s v="mada"/>
    <s v="تم التنفيذ"/>
    <s v="سكاكا"/>
    <s v="+966"/>
    <s v="mobile"/>
    <s v=""/>
    <s v="ماجد الشعلان"/>
    <x v="1"/>
  </r>
  <r>
    <n v="258912015"/>
    <d v="2026-05-09T15:14:51"/>
    <d v="2026-05-09T00:00:00"/>
    <x v="4"/>
    <n v="15"/>
    <s v="السبت"/>
    <s v="كتاب فن الكلام الرقمي"/>
    <n v="1"/>
    <n v="49"/>
    <s v="credit_card"/>
    <s v="تم التنفيذ"/>
    <s v="الدلم"/>
    <s v="+966"/>
    <s v="mobile"/>
    <s v=""/>
    <s v="ابراهيم العبلان"/>
    <x v="1"/>
  </r>
  <r>
    <n v="258964530"/>
    <d v="2026-05-09T19:54:28"/>
    <d v="2026-05-09T00:00:00"/>
    <x v="4"/>
    <n v="19"/>
    <s v="السبت"/>
    <s v="كتاب فن الكلام الرقمي"/>
    <n v="1"/>
    <n v="49"/>
    <s v="mada"/>
    <s v="تم التنفيذ"/>
    <s v="الرياض"/>
    <s v="+966"/>
    <s v="mobile"/>
    <s v=""/>
    <s v="عبد الله قمر"/>
    <x v="1"/>
  </r>
  <r>
    <n v="258967982"/>
    <d v="2026-05-09T20:10:26"/>
    <d v="2026-05-09T00:00:00"/>
    <x v="4"/>
    <n v="20"/>
    <s v="السبت"/>
    <s v="كتاب الذكاء الإجتماعي الرقمي"/>
    <n v="1"/>
    <n v="49"/>
    <s v="mada"/>
    <s v="تم التنفيذ"/>
    <s v="الرياض"/>
    <s v="+966"/>
    <s v="mobile"/>
    <s v=""/>
    <s v="عبد الله قمر"/>
    <x v="1"/>
  </r>
  <r>
    <n v="258991564"/>
    <d v="2026-05-09T22:05:38"/>
    <d v="2026-05-09T00:00:00"/>
    <x v="4"/>
    <n v="22"/>
    <s v="السبت"/>
    <s v="كتاب فن الكلام الرقمي"/>
    <n v="1"/>
    <n v="49"/>
    <s v="mada"/>
    <s v="تم التنفيذ"/>
    <s v="الرياض"/>
    <s v="+966"/>
    <s v="mobile"/>
    <s v=""/>
    <s v="سعود"/>
    <x v="1"/>
  </r>
  <r>
    <n v="259307451"/>
    <d v="2026-05-11T09:38:12"/>
    <d v="2026-05-11T00:00:00"/>
    <x v="4"/>
    <n v="9"/>
    <s v="الإثنين"/>
    <s v="كتاب فن الكلام الرقمي"/>
    <n v="1"/>
    <n v="49"/>
    <s v="mada"/>
    <s v="تم التنفيذ"/>
    <s v="الرياض"/>
    <s v="+966"/>
    <s v="mobile"/>
    <s v=""/>
    <s v="عبدالرحمن"/>
    <x v="1"/>
  </r>
  <r>
    <n v="259635771"/>
    <d v="2026-05-12T23:09:11"/>
    <d v="2026-05-12T00:00:00"/>
    <x v="4"/>
    <n v="23"/>
    <s v="الثلاثاء"/>
    <s v="كتاب الذكاء الإجتماعي الرقمي"/>
    <n v="1"/>
    <n v="49"/>
    <s v="stc_pay"/>
    <s v="تم التنفيذ"/>
    <s v="أبها"/>
    <s v="+966"/>
    <s v="mobile"/>
    <s v=""/>
    <s v="موسى عسيري"/>
    <x v="1"/>
  </r>
  <r>
    <n v="259635771"/>
    <d v="2026-05-12T23:09:11"/>
    <d v="2026-05-12T00:00:00"/>
    <x v="4"/>
    <n v="23"/>
    <s v="الثلاثاء"/>
    <s v="كتاب فن الإقناع الرقمي"/>
    <n v="1"/>
    <n v="49"/>
    <s v="stc_pay"/>
    <s v="تم التنفيذ"/>
    <s v="أبها"/>
    <s v="+966"/>
    <s v="mobile"/>
    <s v=""/>
    <s v="موسى عسيري"/>
    <x v="1"/>
  </r>
  <r>
    <n v="259635771"/>
    <d v="2026-05-12T23:09:11"/>
    <d v="2026-05-12T00:00:00"/>
    <x v="4"/>
    <n v="23"/>
    <s v="الثلاثاء"/>
    <s v="كتاب فن الكلام الرقمي"/>
    <n v="1"/>
    <n v="49"/>
    <s v="stc_pay"/>
    <s v="تم التنفيذ"/>
    <s v="أبها"/>
    <s v="+966"/>
    <s v="mobile"/>
    <s v=""/>
    <s v="موسى عسيري"/>
    <x v="1"/>
  </r>
  <r>
    <n v="260118380"/>
    <d v="2026-05-15T17:01:20"/>
    <d v="2026-05-15T00:00:00"/>
    <x v="4"/>
    <n v="17"/>
    <s v="الجمعة"/>
    <s v="كتاب فن الكلام الرقمي"/>
    <n v="1"/>
    <n v="49"/>
    <s v="tamara_installment"/>
    <s v="تم التنفيذ"/>
    <s v="الدليمية"/>
    <s v="+966"/>
    <s v="mobile"/>
    <s v=""/>
    <s v="فهد"/>
    <x v="1"/>
  </r>
  <r>
    <n v="261553852"/>
    <d v="2026-05-22T21:49:15"/>
    <d v="2026-05-22T00:00:00"/>
    <x v="4"/>
    <n v="21"/>
    <s v="الجمعة"/>
    <s v="كتاب فن الكلام الرقمي"/>
    <n v="1"/>
    <n v="49"/>
    <s v="mada"/>
    <s v="تم التنفيذ"/>
    <s v="جدة"/>
    <s v="+966"/>
    <s v="mobile"/>
    <s v=""/>
    <s v="أيمن الغامدي"/>
    <x v="1"/>
  </r>
  <r>
    <n v="261581621"/>
    <d v="2026-05-23T00:24:34"/>
    <d v="2026-05-23T00:00:00"/>
    <x v="4"/>
    <n v="0"/>
    <s v="السبت"/>
    <s v="كتاب فن الكلام الرقمي"/>
    <n v="1"/>
    <n v="49"/>
    <s v="mada"/>
    <s v="تم التنفيذ"/>
    <s v="الرياض"/>
    <s v="+966"/>
    <s v="mobile"/>
    <s v=""/>
    <s v="راشد ابراهيم"/>
    <x v="1"/>
  </r>
  <r>
    <n v="261583819"/>
    <d v="2026-05-23T00:37:30"/>
    <d v="2026-05-23T00:00:00"/>
    <x v="4"/>
    <n v="0"/>
    <s v="السبت"/>
    <s v="كتاب فن الكلام الرقمي"/>
    <n v="1"/>
    <n v="49"/>
    <s v="tamara_installment"/>
    <s v="تم التنفيذ"/>
    <s v="الرياض"/>
    <s v="+966"/>
    <s v="mobile"/>
    <s v=""/>
    <s v="سامر الزهراني"/>
    <x v="1"/>
  </r>
  <r>
    <n v="261590699"/>
    <d v="2026-05-23T01:17:19"/>
    <d v="2026-05-23T00:00:00"/>
    <x v="4"/>
    <n v="1"/>
    <s v="السبت"/>
    <s v="كتاب فن الكلام الرقمي"/>
    <n v="1"/>
    <n v="49"/>
    <s v="mada"/>
    <s v="تم التنفيذ"/>
    <s v="بريدة"/>
    <s v="+966"/>
    <s v="mobile"/>
    <s v=""/>
    <s v="أحمد الحربي"/>
    <x v="1"/>
  </r>
  <r>
    <n v="261612721"/>
    <d v="2026-05-23T03:59:59"/>
    <d v="2026-05-23T00:00:00"/>
    <x v="4"/>
    <n v="3"/>
    <s v="السبت"/>
    <s v="كتاب فن الإقناع الرقمي"/>
    <n v="1"/>
    <n v="49"/>
    <s v="tamara_installment"/>
    <s v="تم التنفيذ"/>
    <s v="الخفجي"/>
    <s v="+966"/>
    <s v="mobile"/>
    <s v=""/>
    <s v="علي"/>
    <x v="1"/>
  </r>
  <r>
    <n v="261612721"/>
    <d v="2026-05-23T03:59:59"/>
    <d v="2026-05-23T00:00:00"/>
    <x v="4"/>
    <n v="3"/>
    <s v="السبت"/>
    <s v="كتاب الذكاء الإجتماعي الرقمي"/>
    <n v="1"/>
    <n v="49"/>
    <s v="tamara_installment"/>
    <s v="تم التنفيذ"/>
    <s v="الخفجي"/>
    <s v="+966"/>
    <s v="mobile"/>
    <s v=""/>
    <s v="علي"/>
    <x v="1"/>
  </r>
  <r>
    <n v="261612721"/>
    <d v="2026-05-23T03:59:59"/>
    <d v="2026-05-23T00:00:00"/>
    <x v="4"/>
    <n v="3"/>
    <s v="السبت"/>
    <s v="كتاب فن الكلام الرقمي"/>
    <n v="1"/>
    <n v="49"/>
    <s v="tamara_installment"/>
    <s v="تم التنفيذ"/>
    <s v="الخفجي"/>
    <s v="+966"/>
    <s v="mobile"/>
    <s v=""/>
    <s v="علي"/>
    <x v="1"/>
  </r>
  <r>
    <n v="261689392"/>
    <d v="2026-05-23T16:19:53"/>
    <d v="2026-05-23T00:00:00"/>
    <x v="4"/>
    <n v="16"/>
    <s v="السبت"/>
    <s v="كتاب فن الكلام الرقمي"/>
    <n v="1"/>
    <n v="49"/>
    <s v="mada"/>
    <s v="تم التنفيذ"/>
    <s v="الخفجي"/>
    <s v="+966"/>
    <s v="mobile"/>
    <s v=""/>
    <s v="حتان"/>
    <x v="1"/>
  </r>
  <r>
    <n v="261733985"/>
    <d v="2026-05-23T20:28:29"/>
    <d v="2026-05-23T00:00:00"/>
    <x v="4"/>
    <n v="20"/>
    <s v="السبت"/>
    <s v="كتاب فن الكلام الرقمي"/>
    <n v="1"/>
    <n v="49"/>
    <s v="mada"/>
    <s v="تم التنفيذ"/>
    <s v="ضبا"/>
    <s v="+966"/>
    <s v="mobile"/>
    <s v=""/>
    <s v="عبدالرحمن الل"/>
    <x v="1"/>
  </r>
  <r>
    <n v="261733985"/>
    <d v="2026-05-23T20:28:29"/>
    <d v="2026-05-23T00:00:00"/>
    <x v="4"/>
    <n v="20"/>
    <s v="السبت"/>
    <s v="كتاب الذكاء الإجتماعي الرقمي"/>
    <n v="1"/>
    <n v="49"/>
    <s v="mada"/>
    <s v="تم التنفيذ"/>
    <s v="ضبا"/>
    <s v="+966"/>
    <s v="mobile"/>
    <s v=""/>
    <s v="عبدالرحمن الل"/>
    <x v="1"/>
  </r>
  <r>
    <n v="261733985"/>
    <d v="2026-05-23T20:28:29"/>
    <d v="2026-05-23T00:00:00"/>
    <x v="4"/>
    <n v="20"/>
    <s v="السبت"/>
    <s v="كتاب فن الإقناع الرقمي"/>
    <n v="1"/>
    <n v="49"/>
    <s v="mada"/>
    <s v="تم التنفيذ"/>
    <s v="ضبا"/>
    <s v="+966"/>
    <s v="mobile"/>
    <s v=""/>
    <s v="عبدالرحمن الل"/>
    <x v="1"/>
  </r>
  <r>
    <n v="261735236"/>
    <d v="2026-05-23T20:35:54"/>
    <d v="2026-05-23T00:00:00"/>
    <x v="4"/>
    <n v="20"/>
    <s v="السبت"/>
    <s v="كتاب فن الكلام الرقمي"/>
    <n v="1"/>
    <n v="49"/>
    <s v="credit_card"/>
    <s v="تم التنفيذ"/>
    <s v="الخفجي"/>
    <s v="+966"/>
    <s v="mobile"/>
    <s v=""/>
    <s v="أريج"/>
    <x v="0"/>
  </r>
  <r>
    <n v="261735629"/>
    <d v="2026-05-23T20:38:16"/>
    <d v="2026-05-23T00:00:00"/>
    <x v="4"/>
    <n v="20"/>
    <s v="السبت"/>
    <s v="كتاب فن الإقناع الرقمي"/>
    <n v="1"/>
    <n v="49"/>
    <s v="credit_card"/>
    <s v="تم التنفيذ"/>
    <s v="رغوان"/>
    <s v="+966"/>
    <s v="mobile"/>
    <s v="نعم"/>
    <s v="ناصر حمدي"/>
    <x v="1"/>
  </r>
  <r>
    <n v="261735629"/>
    <d v="2026-05-23T20:38:16"/>
    <d v="2026-05-23T00:00:00"/>
    <x v="4"/>
    <n v="20"/>
    <s v="السبت"/>
    <s v="كتاب فن الكلام الرقمي"/>
    <n v="1"/>
    <n v="49"/>
    <s v="credit_card"/>
    <s v="تم التنفيذ"/>
    <s v="رغوان"/>
    <s v="+966"/>
    <s v="mobile"/>
    <s v=""/>
    <s v="ناصر حمدي"/>
    <x v="1"/>
  </r>
  <r>
    <n v="261735629"/>
    <d v="2026-05-23T20:38:16"/>
    <d v="2026-05-23T00:00:00"/>
    <x v="4"/>
    <n v="20"/>
    <s v="السبت"/>
    <s v="كتاب فن الإقناع الرقمي"/>
    <n v="1"/>
    <n v="49"/>
    <s v="credit_card"/>
    <s v="تم التنفيذ"/>
    <s v="رغوان"/>
    <s v="+966"/>
    <s v="mobile"/>
    <s v="نعم"/>
    <s v="ناصر حمدي"/>
    <x v="1"/>
  </r>
  <r>
    <n v="261736631"/>
    <d v="2026-05-23T20:44:09"/>
    <d v="2026-05-23T00:00:00"/>
    <x v="4"/>
    <n v="20"/>
    <s v="السبت"/>
    <s v="كتاب فن الكلام الرقمي"/>
    <n v="1"/>
    <n v="49"/>
    <s v="mada"/>
    <s v="تم التنفيذ"/>
    <s v="الرياض"/>
    <s v="+966"/>
    <s v="mobile"/>
    <s v=""/>
    <s v="محمد"/>
    <x v="1"/>
  </r>
  <r>
    <n v="261791791"/>
    <d v="2026-05-24T01:58:06"/>
    <d v="2026-05-24T00:00:00"/>
    <x v="4"/>
    <n v="1"/>
    <s v="الأحد"/>
    <s v="كتاب فن الكلام الرقمي"/>
    <n v="1"/>
    <n v="49"/>
    <s v="mada"/>
    <s v="تم التنفيذ"/>
    <s v="جدة"/>
    <s v="+966"/>
    <s v="mobile"/>
    <s v=""/>
    <s v="مشعل الطلحي"/>
    <x v="1"/>
  </r>
  <r>
    <n v="262003621"/>
    <d v="2026-05-24T20:50:09"/>
    <d v="2026-05-24T00:00:00"/>
    <x v="4"/>
    <n v="20"/>
    <s v="الأحد"/>
    <s v="كتاب الذكاء الإجتماعي الرقمي"/>
    <n v="1"/>
    <n v="49"/>
    <s v="mada"/>
    <s v="تم التنفيذ"/>
    <s v="جدة"/>
    <s v="+966"/>
    <s v="mobile"/>
    <s v=""/>
    <s v="خالد"/>
    <x v="1"/>
  </r>
  <r>
    <n v="262023224"/>
    <d v="2026-05-24T22:12:04"/>
    <d v="2026-05-24T00:00:00"/>
    <x v="4"/>
    <n v="22"/>
    <s v="الأحد"/>
    <s v="كتاب فن الإقناع الرقمي"/>
    <n v="1"/>
    <n v="49"/>
    <s v="mada"/>
    <s v="تم التنفيذ"/>
    <s v="جدة"/>
    <s v="+966"/>
    <s v="mobile"/>
    <s v=""/>
    <s v="خالد"/>
    <x v="1"/>
  </r>
  <r>
    <n v="262290833"/>
    <d v="2026-05-25T20:48:23"/>
    <d v="2026-05-25T00:00:00"/>
    <x v="4"/>
    <n v="20"/>
    <s v="الإثنين"/>
    <s v="كتاب فن الإقناع الرقمي"/>
    <n v="1"/>
    <n v="49"/>
    <s v="credit_card"/>
    <s v="تم التنفيذ"/>
    <s v="غير معرف"/>
    <s v="+968"/>
    <s v="mobile"/>
    <s v=""/>
    <s v="بن مسعد"/>
    <x v="1"/>
  </r>
  <r>
    <n v="262359998"/>
    <d v="2026-05-26T01:33:20"/>
    <d v="2026-05-26T00:00:00"/>
    <x v="4"/>
    <n v="1"/>
    <s v="الثلاثاء"/>
    <s v="كتاب فن الكلام الرقمي"/>
    <n v="1"/>
    <n v="49"/>
    <s v="credit_card"/>
    <s v="تم التنفيذ"/>
    <s v="الرياض"/>
    <s v="+966"/>
    <s v="mobile"/>
    <s v=""/>
    <s v="الجوهرة فهد"/>
    <x v="0"/>
  </r>
  <r>
    <n v="262798791"/>
    <d v="2026-05-27T22:08:31"/>
    <d v="2026-05-27T00:00:00"/>
    <x v="4"/>
    <n v="22"/>
    <s v="الأربعاء"/>
    <s v="كتاب الذكاء الإجتماعي الرقمي"/>
    <n v="1"/>
    <n v="48.99"/>
    <s v="mada"/>
    <s v="تم التنفيذ"/>
    <s v="شرورة"/>
    <s v="+966"/>
    <s v="mobile"/>
    <s v=""/>
    <s v="محمد الحربي"/>
    <x v="1"/>
  </r>
  <r>
    <n v="262798791"/>
    <d v="2026-05-27T22:08:31"/>
    <d v="2026-05-27T00:00:00"/>
    <x v="4"/>
    <n v="22"/>
    <s v="الأربعاء"/>
    <s v="كتاب فن الكلام الرقمي"/>
    <n v="1"/>
    <n v="48.99"/>
    <s v="mada"/>
    <s v="تم التنفيذ"/>
    <s v="شرورة"/>
    <s v="+966"/>
    <s v="mobile"/>
    <s v=""/>
    <s v="محمد الحربي"/>
    <x v="1"/>
  </r>
  <r>
    <n v="262798791"/>
    <d v="2026-05-27T22:08:31"/>
    <d v="2026-05-27T00:00:00"/>
    <x v="4"/>
    <n v="22"/>
    <s v="الأربعاء"/>
    <s v="كتاب فن الإقناع الرقمي"/>
    <n v="1"/>
    <n v="48.99"/>
    <s v="mada"/>
    <s v="تم التنفيذ"/>
    <s v="شرورة"/>
    <s v="+966"/>
    <s v="mobile"/>
    <s v=""/>
    <s v="محمد الحربي"/>
    <x v="1"/>
  </r>
  <r>
    <n v="262845075"/>
    <d v="2026-05-28T05:30:14"/>
    <d v="2026-05-28T00:00:00"/>
    <x v="4"/>
    <n v="5"/>
    <s v="الخميس"/>
    <s v="كتاب الذكاء الإجتماعي الرقمي"/>
    <n v="1"/>
    <n v="49"/>
    <s v="credit_card"/>
    <s v="تم التنفيذ"/>
    <s v="الرياض"/>
    <s v="+966"/>
    <s v="mobile"/>
    <s v=""/>
    <s v="ناصر المدلج"/>
    <x v="1"/>
  </r>
  <r>
    <n v="262845075"/>
    <d v="2026-05-28T05:30:14"/>
    <d v="2026-05-28T00:00:00"/>
    <x v="4"/>
    <n v="5"/>
    <s v="الخميس"/>
    <s v="كتاب فن الإقناع الرقمي"/>
    <n v="1"/>
    <n v="49"/>
    <s v="credit_card"/>
    <s v="تم التنفيذ"/>
    <s v="الرياض"/>
    <s v="+966"/>
    <s v="mobile"/>
    <s v=""/>
    <s v="ناصر المدلج"/>
    <x v="1"/>
  </r>
  <r>
    <n v="262845075"/>
    <d v="2026-05-28T05:30:14"/>
    <d v="2026-05-28T00:00:00"/>
    <x v="4"/>
    <n v="5"/>
    <s v="الخميس"/>
    <s v="كتاب فن الكلام الرقمي"/>
    <n v="1"/>
    <n v="49"/>
    <s v="credit_card"/>
    <s v="تم التنفيذ"/>
    <s v="الرياض"/>
    <s v="+966"/>
    <s v="mobile"/>
    <s v=""/>
    <s v="ناصر المدلج"/>
    <x v="1"/>
  </r>
  <r>
    <n v="262854834"/>
    <d v="2026-05-28T08:01:02"/>
    <d v="2026-05-28T00:00:00"/>
    <x v="4"/>
    <n v="8"/>
    <s v="الخميس"/>
    <s v="كتاب فن الإقناع الرقمي"/>
    <n v="1"/>
    <n v="49"/>
    <s v="credit_card"/>
    <s v="تم التنفيذ"/>
    <s v="شرورة"/>
    <s v="+966"/>
    <s v="mobile"/>
    <s v=""/>
    <s v="جمعان"/>
    <x v="1"/>
  </r>
  <r>
    <n v="262854985"/>
    <d v="2026-05-28T08:04:09"/>
    <d v="2026-05-28T00:00:00"/>
    <x v="4"/>
    <n v="8"/>
    <s v="الخميس"/>
    <s v="كتاب فن الكلام الرقمي"/>
    <n v="1"/>
    <n v="49"/>
    <s v="mada"/>
    <s v="تم التنفيذ"/>
    <s v="شرورة"/>
    <s v="+966"/>
    <s v="mobile"/>
    <s v=""/>
    <s v="جمعان"/>
    <x v="1"/>
  </r>
  <r>
    <n v="262975271"/>
    <d v="2026-05-29T02:21:51"/>
    <d v="2026-05-29T00:00:00"/>
    <x v="4"/>
    <n v="2"/>
    <s v="الجمعة"/>
    <s v="كتاب فن الكلام الرقمي"/>
    <n v="1"/>
    <n v="49"/>
    <s v="mada"/>
    <s v="تم التنفيذ"/>
    <s v="جدة"/>
    <s v="+966"/>
    <s v="mobile"/>
    <s v=""/>
    <s v="احمد القحطاني"/>
    <x v="1"/>
  </r>
  <r>
    <n v="262986182"/>
    <d v="2026-05-29T03:55:25"/>
    <d v="2026-05-29T00:00:00"/>
    <x v="4"/>
    <n v="3"/>
    <s v="الجمعة"/>
    <s v="مجموعة فنون التواصل"/>
    <n v="1"/>
    <n v="111"/>
    <s v="mada"/>
    <s v="تم التنفيذ"/>
    <s v="الرياض"/>
    <s v="+966"/>
    <s v="mobile"/>
    <s v=""/>
    <s v="علي السمري"/>
    <x v="1"/>
  </r>
  <r>
    <n v="263005789"/>
    <d v="2026-05-29T08:01:16"/>
    <d v="2026-05-29T00:00:00"/>
    <x v="4"/>
    <n v="8"/>
    <s v="الجمعة"/>
    <s v="كتاب فن الكلام الرقمي"/>
    <n v="1"/>
    <n v="49"/>
    <s v="mada"/>
    <s v="تم التنفيذ"/>
    <s v="الرياض"/>
    <s v="+966"/>
    <s v="mobile"/>
    <s v=""/>
    <s v="نايف محمد"/>
    <x v="1"/>
  </r>
  <r>
    <n v="263005789"/>
    <d v="2026-05-29T08:01:16"/>
    <d v="2026-05-29T00:00:00"/>
    <x v="4"/>
    <n v="8"/>
    <s v="الجمعة"/>
    <s v="كتاب الذكاء الإجتماعي الرقمي"/>
    <n v="1"/>
    <n v="49"/>
    <s v="mada"/>
    <s v="تم التنفيذ"/>
    <s v="الرياض"/>
    <s v="+966"/>
    <s v="mobile"/>
    <s v=""/>
    <s v="نايف محمد"/>
    <x v="1"/>
  </r>
  <r>
    <n v="263005789"/>
    <d v="2026-05-29T08:01:16"/>
    <d v="2026-05-29T00:00:00"/>
    <x v="4"/>
    <n v="8"/>
    <s v="الجمعة"/>
    <s v="كتاب فن الإقناع الرقمي"/>
    <n v="1"/>
    <n v="49"/>
    <s v="mada"/>
    <s v="تم التنفيذ"/>
    <s v="الرياض"/>
    <s v="+966"/>
    <s v="mobile"/>
    <s v=""/>
    <s v="نايف محمد"/>
    <x v="1"/>
  </r>
  <r>
    <n v="263031363"/>
    <d v="2026-05-29T14:00:06"/>
    <d v="2026-05-29T00:00:00"/>
    <x v="4"/>
    <n v="14"/>
    <s v="الجمعة"/>
    <s v="كتاب فن الكلام الرقمي"/>
    <n v="1"/>
    <n v="49.03"/>
    <s v="credit_card"/>
    <s v="تم التنفيذ"/>
    <s v="غير معرف"/>
    <s v="+968"/>
    <s v="mobile"/>
    <s v=""/>
    <s v="خالد صالح"/>
    <x v="1"/>
  </r>
  <r>
    <n v="263079904"/>
    <d v="2026-05-29T20:01:28"/>
    <d v="2026-05-29T00:00:00"/>
    <x v="4"/>
    <n v="20"/>
    <s v="الجمعة"/>
    <s v="مجموعة فنون التواصل"/>
    <n v="1"/>
    <n v="111"/>
    <s v="stc_pay"/>
    <s v="تم التنفيذ"/>
    <s v="الهفوف والمبرز"/>
    <s v="+966"/>
    <s v="mobile"/>
    <s v=""/>
    <s v="محمد الخليفه"/>
    <x v="1"/>
  </r>
  <r>
    <n v="263159832"/>
    <d v="2026-05-30T07:00:48"/>
    <d v="2026-05-30T00:00:00"/>
    <x v="4"/>
    <n v="7"/>
    <s v="السبت"/>
    <s v="مجموعة فنون التواصل"/>
    <n v="1"/>
    <n v="111"/>
    <s v="credit_card"/>
    <s v="تم التنفيذ"/>
    <s v="المدينة المنورة"/>
    <s v="+966"/>
    <s v="mobile"/>
    <s v=""/>
    <s v="عبد الهادي"/>
    <x v="1"/>
  </r>
  <r>
    <n v="263220369"/>
    <d v="2026-05-30T17:29:51"/>
    <d v="2026-05-30T00:00:00"/>
    <x v="4"/>
    <n v="17"/>
    <s v="السبت"/>
    <s v="كتاب فن الكلام الرقمي"/>
    <n v="1"/>
    <n v="49"/>
    <s v="mada"/>
    <s v="تم التنفيذ"/>
    <s v="الرياض"/>
    <s v="+966"/>
    <s v="mobile"/>
    <s v=""/>
    <s v="عبدالرحمن"/>
    <x v="1"/>
  </r>
  <r>
    <n v="263304456"/>
    <d v="2026-05-31T01:52:14"/>
    <d v="2026-05-31T00:00:00"/>
    <x v="4"/>
    <n v="1"/>
    <s v="الأحد"/>
    <s v="مجموعة فنون التواصل"/>
    <n v="1"/>
    <n v="111"/>
    <s v="mada"/>
    <s v="تم التنفيذ"/>
    <s v="أبها"/>
    <s v="+966"/>
    <s v="mobile"/>
    <s v=""/>
    <s v="عبدالله العقيل"/>
    <x v="1"/>
  </r>
  <r>
    <n v="263331540"/>
    <d v="2026-05-31T05:49:31"/>
    <d v="2026-05-31T00:00:00"/>
    <x v="4"/>
    <n v="5"/>
    <s v="الأحد"/>
    <s v="مجموعة فنون التواصل"/>
    <n v="1"/>
    <n v="111"/>
    <s v="apple_pay"/>
    <s v="تم التنفيذ"/>
    <s v="الجموم"/>
    <s v="+966"/>
    <s v="mobile"/>
    <s v=""/>
    <s v="رعد الشريف"/>
    <x v="1"/>
  </r>
  <r>
    <n v="263370303"/>
    <d v="2026-05-31T13:33:28"/>
    <d v="2026-05-31T00:00:00"/>
    <x v="4"/>
    <n v="13"/>
    <s v="الأحد"/>
    <s v="مجموعة فنون التواصل"/>
    <n v="1"/>
    <n v="111"/>
    <s v="credit_card"/>
    <s v="تم التنفيذ"/>
    <s v="بقيق"/>
    <s v="+974"/>
    <s v="mobile"/>
    <s v=""/>
    <s v="محمد المرري"/>
    <x v="1"/>
  </r>
  <r>
    <n v="263418537"/>
    <d v="2026-05-31T18:46:16"/>
    <d v="2026-05-31T00:00:00"/>
    <x v="4"/>
    <n v="18"/>
    <s v="الأحد"/>
    <s v="مجموعة فنون التواصل"/>
    <n v="1"/>
    <n v="111"/>
    <s v="tamara_installment"/>
    <s v="تم التنفيذ"/>
    <s v="أبها"/>
    <s v="+966"/>
    <s v="mobile"/>
    <s v=""/>
    <s v="عبدالله خالد"/>
    <x v="1"/>
  </r>
  <r>
    <n v="263428152"/>
    <d v="2026-05-31T19:43:28"/>
    <d v="2026-05-31T00:00:00"/>
    <x v="4"/>
    <n v="19"/>
    <s v="الأحد"/>
    <s v="كتاب فن الكلام الرقمي"/>
    <n v="1"/>
    <n v="49"/>
    <s v="mada"/>
    <s v="تم التنفيذ"/>
    <s v="جدة"/>
    <s v="+966"/>
    <s v="mobile"/>
    <s v=""/>
    <s v="محمد عبدالله"/>
    <x v="1"/>
  </r>
  <r>
    <n v="263650643"/>
    <d v="2026-06-01T19:55:36"/>
    <d v="2026-06-01T00:00:00"/>
    <x v="5"/>
    <n v="19"/>
    <s v="الإثنين"/>
    <s v="كتاب فن الكلام الرقمي"/>
    <n v="1"/>
    <n v="49"/>
    <s v="tamara_installment"/>
    <s v="تم التنفيذ"/>
    <s v="الرياض"/>
    <s v="+966"/>
    <s v="mobile"/>
    <s v=""/>
    <s v="ابراهيم العنزي"/>
    <x v="1"/>
  </r>
  <r>
    <n v="263678187"/>
    <d v="2026-06-01T22:01:33"/>
    <d v="2026-06-01T00:00:00"/>
    <x v="5"/>
    <n v="22"/>
    <s v="الإثنين"/>
    <s v="كتاب فن الكلام الرقمي"/>
    <n v="1"/>
    <n v="49"/>
    <s v="mada"/>
    <s v="تم التنفيذ"/>
    <s v="مكة المكرمة"/>
    <s v="+966"/>
    <s v="mobile"/>
    <s v=""/>
    <s v="مقر أحمد"/>
    <x v="1"/>
  </r>
  <r>
    <n v="263760367"/>
    <d v="2026-06-02T06:23:10"/>
    <d v="2026-06-02T00:00:00"/>
    <x v="5"/>
    <n v="6"/>
    <s v="الثلاثاء"/>
    <s v="مجموعة فنون التواصل"/>
    <n v="1"/>
    <n v="111"/>
    <s v="mada"/>
    <s v="تم التنفيذ"/>
    <s v="الرياض"/>
    <s v="+966"/>
    <s v="mobile"/>
    <s v=""/>
    <s v="مؤيد"/>
    <x v="1"/>
  </r>
  <r>
    <n v="263820323"/>
    <d v="2026-06-02T14:53:40"/>
    <d v="2026-06-02T00:00:00"/>
    <x v="5"/>
    <n v="14"/>
    <s v="الثلاثاء"/>
    <s v="مجموعة فنون التواصل"/>
    <n v="1"/>
    <n v="111"/>
    <s v="credit_card"/>
    <s v="تم التنفيذ"/>
    <s v="الدمام"/>
    <s v="+966"/>
    <s v="mobile"/>
    <s v=""/>
    <s v="ظافر ال مخلص"/>
    <x v="1"/>
  </r>
  <r>
    <n v="264012261"/>
    <d v="2026-06-03T11:48:50"/>
    <d v="2026-06-03T00:00:00"/>
    <x v="5"/>
    <n v="11"/>
    <s v="الأربعاء"/>
    <s v="كتاب فن الكلام الرقمي"/>
    <n v="1"/>
    <n v="49"/>
    <s v="mada"/>
    <s v="تم التنفيذ"/>
    <s v="مكة المكرمة"/>
    <s v="+966"/>
    <s v="mobile"/>
    <s v=""/>
    <s v="فارس"/>
    <x v="1"/>
  </r>
  <r>
    <n v="264027152"/>
    <d v="2026-06-03T13:40:52"/>
    <d v="2026-06-03T00:00:00"/>
    <x v="5"/>
    <n v="13"/>
    <s v="الأربعاء"/>
    <s v="مجموعة فنون التواصل"/>
    <n v="1"/>
    <n v="111"/>
    <s v="mada"/>
    <s v="تم التنفيذ"/>
    <s v="الجموم"/>
    <s v="+966"/>
    <s v="mobile"/>
    <s v=""/>
    <s v="عبدالله الحمراني"/>
    <x v="1"/>
  </r>
  <r>
    <n v="264089552"/>
    <d v="2026-06-03T19:54:38"/>
    <d v="2026-06-03T00:00:00"/>
    <x v="5"/>
    <n v="19"/>
    <s v="الأربعاء"/>
    <s v="كتاب فن الكلام الرقمي"/>
    <n v="1"/>
    <n v="49"/>
    <s v="credit_card"/>
    <s v="تم التنفيذ"/>
    <s v="الرياض"/>
    <s v="+966"/>
    <s v="mobile"/>
    <s v=""/>
    <s v="محمد الشنقيطي"/>
    <x v="1"/>
  </r>
  <r>
    <n v="264148224"/>
    <d v="2026-06-04T00:59:06"/>
    <d v="2026-06-04T00:00:00"/>
    <x v="5"/>
    <n v="0"/>
    <s v="الخميس"/>
    <s v="مجموعة فنون التواصل"/>
    <n v="1"/>
    <n v="111"/>
    <s v="mada"/>
    <s v="تم التنفيذ"/>
    <s v="جدة"/>
    <s v="+966"/>
    <s v="mobile"/>
    <s v=""/>
    <s v="فيصل"/>
    <x v="1"/>
  </r>
  <r>
    <n v="264201273"/>
    <d v="2026-06-04T09:17:26"/>
    <d v="2026-06-04T00:00:00"/>
    <x v="5"/>
    <n v="9"/>
    <s v="الخميس"/>
    <s v="كتاب فن الكلام الرقمي"/>
    <n v="1"/>
    <n v="49"/>
    <s v="tamara_installment"/>
    <s v="تم التنفيذ"/>
    <s v="سراة عبيدة"/>
    <s v="+966"/>
    <s v="mobile"/>
    <s v=""/>
    <s v="محمد"/>
    <x v="1"/>
  </r>
  <r>
    <n v="264249267"/>
    <d v="2026-06-04T15:48:16"/>
    <d v="2026-06-04T00:00:00"/>
    <x v="5"/>
    <n v="15"/>
    <s v="الخميس"/>
    <s v="كتاب فن الكلام الرقمي"/>
    <n v="1"/>
    <n v="49"/>
    <s v="mada"/>
    <s v="تم التنفيذ"/>
    <s v="البدائع العليا"/>
    <s v="+966"/>
    <s v="mobile"/>
    <s v=""/>
    <s v="عساف العوفي"/>
    <x v="1"/>
  </r>
  <r>
    <n v="264373628"/>
    <d v="2026-06-05T05:10:25"/>
    <d v="2026-06-05T00:00:00"/>
    <x v="5"/>
    <n v="5"/>
    <s v="الجمعة"/>
    <s v="كتاب فن الكلام الرقمي"/>
    <n v="1"/>
    <n v="39"/>
    <s v="mada"/>
    <s v="تم التنفيذ"/>
    <s v="جدة"/>
    <s v="+966"/>
    <s v="mobile"/>
    <s v=""/>
    <s v="محمد المالكي"/>
    <x v="1"/>
  </r>
  <r>
    <n v="264387316"/>
    <d v="2026-06-05T07:59:07"/>
    <d v="2026-06-05T00:00:00"/>
    <x v="5"/>
    <n v="7"/>
    <s v="الجمعة"/>
    <s v="مجموعة فنون التواصل"/>
    <n v="1"/>
    <n v="85"/>
    <s v="mada"/>
    <s v="تم التنفيذ"/>
    <s v="خميس مشيط"/>
    <s v="+966"/>
    <s v="mobile"/>
    <s v=""/>
    <s v="مازن الحسنيه"/>
    <x v="1"/>
  </r>
  <r>
    <n v="264511536"/>
    <d v="2026-06-05T22:44:16"/>
    <d v="2026-06-05T00:00:00"/>
    <x v="5"/>
    <n v="22"/>
    <s v="الجمعة"/>
    <s v="كتاب فن الكلام الرقمي"/>
    <n v="1"/>
    <n v="39"/>
    <s v="mada"/>
    <s v="تم التنفيذ"/>
    <s v="العلا"/>
    <s v="+966"/>
    <s v="mobile"/>
    <s v=""/>
    <s v="ماريم"/>
    <x v="0"/>
  </r>
  <r>
    <n v="264523481"/>
    <d v="2026-06-05T23:59:39"/>
    <d v="2026-06-05T00:00:00"/>
    <x v="5"/>
    <n v="23"/>
    <s v="الجمعة"/>
    <s v="كتاب فن الكلام الرقمي"/>
    <n v="1"/>
    <n v="39"/>
    <s v="mada"/>
    <s v="تم التنفيذ"/>
    <s v="الرياض"/>
    <s v="+966"/>
    <s v="mobile"/>
    <s v=""/>
    <s v="لجين"/>
    <x v="0"/>
  </r>
  <r>
    <n v="264538233"/>
    <d v="2026-06-06T01:33:01"/>
    <d v="2026-06-06T00:00:00"/>
    <x v="5"/>
    <n v="1"/>
    <s v="السبت"/>
    <s v="مجموعة فنون التواصل"/>
    <n v="1"/>
    <n v="85"/>
    <s v="mada"/>
    <s v="تم التنفيذ"/>
    <s v="الرياض"/>
    <s v="+966"/>
    <s v="mobile"/>
    <s v=""/>
    <s v="محمد الماجد"/>
    <x v="1"/>
  </r>
  <r>
    <n v="264942559"/>
    <d v="2026-06-08T05:36:45"/>
    <d v="2026-06-08T00:00:00"/>
    <x v="5"/>
    <n v="5"/>
    <s v="الإثنين"/>
    <s v="مجموعة فنون التواصل"/>
    <n v="1"/>
    <n v="85"/>
    <s v="mada"/>
    <s v="تم التنفيذ"/>
    <s v="الطائف"/>
    <s v="+966"/>
    <s v="mobile"/>
    <s v=""/>
    <s v="عبدالعزيز"/>
    <x v="1"/>
  </r>
  <r>
    <n v="265259801"/>
    <d v="2026-06-09T22:28:48"/>
    <d v="2026-06-09T00:00:00"/>
    <x v="5"/>
    <n v="22"/>
    <s v="الثلاثاء"/>
    <s v="مجموعة فنون التواصل"/>
    <n v="1"/>
    <n v="85"/>
    <s v="apple_pay"/>
    <s v="تم التنفيذ"/>
    <s v="الرياض"/>
    <s v="+966"/>
    <s v="mobile"/>
    <s v=""/>
    <s v="حمود الفوزان"/>
    <x v="1"/>
  </r>
  <r>
    <n v="266046153"/>
    <d v="2026-06-13T03:00:37"/>
    <d v="2026-06-13T00:00:00"/>
    <x v="5"/>
    <n v="3"/>
    <s v="السبت"/>
    <s v="مجموعة فنون التواصل"/>
    <n v="1"/>
    <n v="85"/>
    <s v="mada"/>
    <s v="تم التنفيذ"/>
    <s v="شرورة"/>
    <s v="+966"/>
    <s v="mobile"/>
    <s v=""/>
    <s v="سالم"/>
    <x v="1"/>
  </r>
  <r>
    <n v="266248672"/>
    <d v="2026-06-14T05:12:05"/>
    <d v="2026-06-14T00:00:00"/>
    <x v="5"/>
    <n v="5"/>
    <s v="الأحد"/>
    <s v="مجموعة فنون التواصل"/>
    <n v="1"/>
    <n v="85"/>
    <s v="mada"/>
    <s v="تم التنفيذ"/>
    <s v="الباحة"/>
    <s v="+966"/>
    <s v="mobile"/>
    <s v=""/>
    <s v="إبراهيم الخيبري"/>
    <x v="1"/>
  </r>
  <r>
    <n v="266723761"/>
    <d v="2026-06-15T02:35:32"/>
    <d v="2026-06-15T00:00:00"/>
    <x v="5"/>
    <n v="2"/>
    <s v="الإثنين"/>
    <s v="مجموعة فنون التواصل"/>
    <n v="1"/>
    <n v="85"/>
    <s v="apple_pay"/>
    <s v="تم التنفيذ"/>
    <s v="الرياض"/>
    <s v="+966"/>
    <s v="mobile"/>
    <s v=""/>
    <s v="عباس الدوسري"/>
    <x v="1"/>
  </r>
  <r>
    <n v="266736597"/>
    <d v="2026-06-15T05:20:07"/>
    <d v="2026-06-15T00:00:00"/>
    <x v="5"/>
    <n v="5"/>
    <s v="الإثنين"/>
    <s v="مجموعة فنون التواصل"/>
    <n v="1"/>
    <n v="85"/>
    <s v="tamara_installment"/>
    <s v="تم التنفيذ"/>
    <s v="محايل عسير"/>
    <s v="+966"/>
    <s v="mobile"/>
    <s v=""/>
    <s v="طالع"/>
    <x v="1"/>
  </r>
  <r>
    <n v="266981845"/>
    <d v="2026-06-16T16:38:18"/>
    <d v="2026-06-16T00:00:00"/>
    <x v="5"/>
    <n v="16"/>
    <s v="الثلاثاء"/>
    <s v="كتاب فن الكلام الرقمي"/>
    <n v="1"/>
    <n v="49"/>
    <s v="apple_pay"/>
    <s v="تم التنفيذ"/>
    <s v="الرياض"/>
    <s v="+966"/>
    <s v="mobile"/>
    <s v=""/>
    <s v="عائض النفيعي"/>
    <x v="1"/>
  </r>
  <r>
    <n v="267245594"/>
    <d v="2026-06-18T04:55:52"/>
    <d v="2026-06-18T00:00:00"/>
    <x v="5"/>
    <n v="4"/>
    <s v="الخميس"/>
    <s v="كتاب فن الكلام الرقمي"/>
    <n v="1"/>
    <n v="49"/>
    <s v="mada"/>
    <s v="تم التنفيذ"/>
    <s v="مكة المكرمة"/>
    <s v="+966"/>
    <s v="mobile"/>
    <s v=""/>
    <s v="عبد الرحمن"/>
    <x v="1"/>
  </r>
  <r>
    <n v="267266965"/>
    <d v="2026-06-18T10:17:46"/>
    <d v="2026-06-18T00:00:00"/>
    <x v="5"/>
    <n v="10"/>
    <s v="الخميس"/>
    <s v="كتاب فن الكلام الرقمي"/>
    <n v="1"/>
    <n v="49"/>
    <s v="credit_card"/>
    <s v="تم التنفيذ"/>
    <s v="الدمام"/>
    <s v="+966"/>
    <s v="mobile"/>
    <s v=""/>
    <s v="سلمان العسيري"/>
    <x v="1"/>
  </r>
  <r>
    <n v="267281321"/>
    <d v="2026-06-18T12:53:03"/>
    <d v="2026-06-18T00:00:00"/>
    <x v="5"/>
    <n v="12"/>
    <s v="الخميس"/>
    <s v="مجموعة فنون التواصل"/>
    <n v="1"/>
    <n v="85"/>
    <s v="credit_card"/>
    <s v="تم التنفيذ"/>
    <s v="الطائف"/>
    <s v="+966"/>
    <s v="mobile"/>
    <s v=""/>
    <s v="راكان الحربي"/>
    <x v="1"/>
  </r>
  <r>
    <n v="267323831"/>
    <d v="2026-06-18T18:33:27"/>
    <d v="2026-06-18T00:00:00"/>
    <x v="5"/>
    <n v="18"/>
    <s v="الخميس"/>
    <s v="كتاب فن الكلام الرقمي"/>
    <n v="1"/>
    <n v="49"/>
    <s v="mada"/>
    <s v="تم التنفيذ"/>
    <s v="الدمام"/>
    <s v="+966"/>
    <s v="mobile"/>
    <s v=""/>
    <s v="سلطان القحطاني"/>
    <x v="1"/>
  </r>
  <r>
    <n v="267364957"/>
    <d v="2026-06-18T23:28:01"/>
    <d v="2026-06-18T00:00:00"/>
    <x v="5"/>
    <n v="23"/>
    <s v="الخميس"/>
    <s v="مجموعة فنون التواصل"/>
    <n v="1"/>
    <n v="85"/>
    <s v="credit_card"/>
    <s v="تم التنفيذ"/>
    <s v="الرياض"/>
    <s v="+966"/>
    <s v="mobile"/>
    <s v=""/>
    <s v="ديما بي جي"/>
    <x v="0"/>
  </r>
  <r>
    <n v="267491594"/>
    <d v="2026-06-19T20:13:15"/>
    <d v="2026-06-19T00:00:00"/>
    <x v="5"/>
    <n v="20"/>
    <s v="الجمعة"/>
    <s v="مجموعة فنون التواصل"/>
    <n v="1"/>
    <n v="85"/>
    <s v="mada"/>
    <s v="تم التنفيذ"/>
    <s v="الرياض"/>
    <s v="+966"/>
    <s v="mobile"/>
    <s v=""/>
    <s v="عبدالرحمن"/>
    <x v="1"/>
  </r>
  <r>
    <n v="267590156"/>
    <d v="2026-06-20T13:35:04"/>
    <d v="2026-06-20T00:00:00"/>
    <x v="5"/>
    <n v="13"/>
    <s v="السبت"/>
    <s v="مجموعة فنون التواصل"/>
    <n v="1"/>
    <n v="85"/>
    <s v="credit_card"/>
    <s v="تم التنفيذ"/>
    <s v="الخرمة"/>
    <s v="+966"/>
    <s v="mobile"/>
    <s v=""/>
    <s v="غالب السبيعي"/>
    <x v="1"/>
  </r>
  <r>
    <n v="267601518"/>
    <d v="2026-06-20T15:06:02"/>
    <d v="2026-06-20T00:00:00"/>
    <x v="5"/>
    <n v="15"/>
    <s v="السبت"/>
    <s v="مجموعة فنون التواصل"/>
    <n v="1"/>
    <n v="85"/>
    <s v="mada"/>
    <s v="تم التنفيذ"/>
    <s v="الدمام"/>
    <s v="+966"/>
    <s v="mobile"/>
    <s v=""/>
    <s v="حسن فهد"/>
    <x v="1"/>
  </r>
  <r>
    <n v="267611428"/>
    <d v="2026-06-20T16:21:29"/>
    <d v="2026-06-20T00:00:00"/>
    <x v="5"/>
    <n v="16"/>
    <s v="السبت"/>
    <s v="مجموعة فنون التواصل"/>
    <n v="1"/>
    <n v="85"/>
    <s v="mada"/>
    <s v="تم التنفيذ"/>
    <s v="الرياض"/>
    <s v="+966"/>
    <s v="mobile"/>
    <s v=""/>
    <s v="عبدالله"/>
    <x v="1"/>
  </r>
  <r>
    <n v="267700394"/>
    <d v="2026-06-21T03:05:46"/>
    <d v="2026-06-21T00:00:00"/>
    <x v="5"/>
    <n v="3"/>
    <s v="الأحد"/>
    <s v="كتاب فن الكلام الرقمي"/>
    <n v="1"/>
    <n v="49"/>
    <s v="credit_card"/>
    <s v="تم التنفيذ"/>
    <s v="الرياض"/>
    <s v="+966"/>
    <s v="mobile"/>
    <s v=""/>
    <s v="فارس يامي"/>
    <x v="1"/>
  </r>
  <r>
    <n v="267700394"/>
    <d v="2026-06-21T03:05:46"/>
    <d v="2026-06-21T00:00:00"/>
    <x v="5"/>
    <n v="3"/>
    <s v="الأحد"/>
    <s v="كتاب الذكاء الإجتماعي الرقمي"/>
    <n v="1"/>
    <n v="39"/>
    <s v="credit_card"/>
    <s v="تم التنفيذ"/>
    <s v="الرياض"/>
    <s v="+966"/>
    <s v="mobile"/>
    <s v=""/>
    <s v="فارس يامي"/>
    <x v="1"/>
  </r>
  <r>
    <n v="267700577"/>
    <d v="2026-06-21T03:07:59"/>
    <d v="2026-06-21T00:00:00"/>
    <x v="5"/>
    <n v="3"/>
    <s v="الأحد"/>
    <s v="مجموعة فنون التواصل"/>
    <n v="1"/>
    <n v="85"/>
    <s v="mada"/>
    <s v="تم التنفيذ"/>
    <s v="جدة"/>
    <s v="+966"/>
    <s v="mobile"/>
    <s v=""/>
    <s v="امين الجابري"/>
    <x v="1"/>
  </r>
  <r>
    <n v="267728802"/>
    <d v="2026-06-21T10:36:57"/>
    <d v="2026-06-21T00:00:00"/>
    <x v="5"/>
    <n v="10"/>
    <s v="الأحد"/>
    <s v="كتاب فن الكلام الرقمي"/>
    <n v="1"/>
    <n v="49"/>
    <s v="apple_pay"/>
    <s v="تم التنفيذ"/>
    <s v="الرياض"/>
    <s v="+966"/>
    <s v="mobile"/>
    <s v=""/>
    <s v="سلمان القحطاني"/>
    <x v="1"/>
  </r>
  <r>
    <n v="267868883"/>
    <d v="2026-06-22T09:14:01"/>
    <d v="2026-06-22T00:00:00"/>
    <x v="5"/>
    <n v="9"/>
    <s v="الإثنين"/>
    <s v="مجموعة فنون التواصل"/>
    <n v="1"/>
    <n v="85"/>
    <s v="tamara_installment"/>
    <s v="تم التنفيذ"/>
    <s v="أحد رفيدة"/>
    <s v="+966"/>
    <s v="mobile"/>
    <s v=""/>
    <s v="يحي القحطاني"/>
    <x v="1"/>
  </r>
  <r>
    <n v="267875442"/>
    <d v="2026-06-22T10:48:54"/>
    <d v="2026-06-22T00:00:00"/>
    <x v="5"/>
    <n v="10"/>
    <s v="الإثنين"/>
    <s v="كتاب فن الكلام الرقمي"/>
    <n v="1"/>
    <n v="49"/>
    <s v="mada"/>
    <s v="تم التنفيذ"/>
    <s v="خميس مشيط"/>
    <s v="+966"/>
    <s v="mobile"/>
    <s v=""/>
    <s v="عصام الشهراني"/>
    <x v="1"/>
  </r>
  <r>
    <n v="267973248"/>
    <d v="2026-06-23T00:33:48"/>
    <d v="2026-06-23T00:00:00"/>
    <x v="5"/>
    <n v="0"/>
    <s v="الثلاثاء"/>
    <s v="مجموعة فنون التواصل"/>
    <n v="1"/>
    <n v="85"/>
    <s v="mada"/>
    <s v="تم التنفيذ"/>
    <s v="الرياض"/>
    <s v="+966"/>
    <s v="mobile"/>
    <s v=""/>
    <s v="حمد"/>
    <x v="1"/>
  </r>
  <r>
    <n v="268128774"/>
    <d v="2026-06-24T02:35:05"/>
    <d v="2026-06-24T00:00:00"/>
    <x v="5"/>
    <n v="2"/>
    <s v="الأربعاء"/>
    <s v="مجموعة فنون التواصل"/>
    <n v="1"/>
    <n v="85"/>
    <s v="mada"/>
    <s v="تم التنفيذ"/>
    <s v="الشقيق"/>
    <s v="+966"/>
    <s v="mobile"/>
    <s v=""/>
    <s v="شجاع اليامي"/>
    <x v="1"/>
  </r>
  <r>
    <n v="268191218"/>
    <d v="2026-06-24T15:04:25"/>
    <d v="2026-06-24T00:00:00"/>
    <x v="5"/>
    <n v="15"/>
    <s v="الأربعاء"/>
    <s v="مجموعة فنون التواصل"/>
    <n v="1"/>
    <n v="111"/>
    <s v="tamara_installment"/>
    <s v="تم التنفيذ"/>
    <s v="الرياض"/>
    <s v="+966"/>
    <s v="mobile"/>
    <s v=""/>
    <s v="إم مود"/>
    <x v="0"/>
  </r>
  <r>
    <n v="268257307"/>
    <d v="2026-06-24T22:47:28"/>
    <d v="2026-06-24T00:00:00"/>
    <x v="5"/>
    <n v="22"/>
    <s v="الأربعاء"/>
    <s v="مجموعة فنون التواصل"/>
    <n v="1"/>
    <n v="111"/>
    <s v="credit_card"/>
    <s v="تم التنفيذ"/>
    <s v="المدام"/>
    <s v="+971"/>
    <s v="mobile"/>
    <s v=""/>
    <s v="سعيد ،،"/>
    <x v="1"/>
  </r>
  <r>
    <n v="268307483"/>
    <d v="2026-06-25T05:31:26"/>
    <d v="2026-06-25T00:00:00"/>
    <x v="5"/>
    <n v="5"/>
    <s v="الخميس"/>
    <s v="كتاب فن الكلام الرقمي"/>
    <n v="1"/>
    <n v="49"/>
    <s v="tamara_installment"/>
    <s v="تم التنفيذ"/>
    <s v="الرياض"/>
    <s v="+966"/>
    <s v="mobile"/>
    <s v=""/>
    <s v="عبد الرحمن ألارماني"/>
    <x v="1"/>
  </r>
  <r>
    <n v="268815027"/>
    <d v="2026-06-28T02:39:08"/>
    <d v="2026-06-28T00:00:00"/>
    <x v="5"/>
    <n v="2"/>
    <s v="الأحد"/>
    <s v="كتاب فن الكلام الرقمي"/>
    <n v="1"/>
    <n v="49"/>
    <s v="mada"/>
    <s v="تم التنفيذ"/>
    <s v="الدمام"/>
    <s v="+966"/>
    <s v="mobile"/>
    <s v=""/>
    <s v="نايف الشمري"/>
    <x v="1"/>
  </r>
  <r>
    <n v="268816367"/>
    <d v="2026-06-28T02:45:15"/>
    <d v="2026-06-28T00:00:00"/>
    <x v="5"/>
    <n v="2"/>
    <s v="الأحد"/>
    <s v="مجموعة فنون التواصل"/>
    <n v="1"/>
    <n v="111"/>
    <s v="tamara_installment"/>
    <s v="تم التنفيذ"/>
    <s v="عرعر"/>
    <s v="+966"/>
    <s v="mobile"/>
    <s v=""/>
    <s v="محمد"/>
    <x v="1"/>
  </r>
  <r>
    <n v="269269162"/>
    <d v="2026-06-29T19:46:38"/>
    <d v="2026-06-29T00:00:00"/>
    <x v="5"/>
    <n v="19"/>
    <s v="الإثنين"/>
    <s v="مجموعة فنون التواصل"/>
    <n v="1"/>
    <n v="111"/>
    <s v="mada"/>
    <s v="تم التنفيذ"/>
    <s v="املج"/>
    <s v="+966"/>
    <s v="mobile"/>
    <s v=""/>
    <s v="علي عسيري"/>
    <x v="1"/>
  </r>
  <r>
    <n v="269321670"/>
    <d v="2026-06-29T23:26:02"/>
    <d v="2026-06-29T00:00:00"/>
    <x v="5"/>
    <n v="23"/>
    <s v="الإثنين"/>
    <s v="مجموعة فنون التواصل"/>
    <n v="1"/>
    <n v="111"/>
    <s v="mada"/>
    <s v="تم التنفيذ"/>
    <s v="الرياض"/>
    <s v="+966"/>
    <s v="mobile"/>
    <s v=""/>
    <s v="محمد"/>
    <x v="1"/>
  </r>
  <r>
    <n v="269398105"/>
    <d v="2026-06-30T08:22:11"/>
    <d v="2026-06-30T00:00:00"/>
    <x v="5"/>
    <n v="8"/>
    <s v="الثلاثاء"/>
    <s v="كتاب فن الكلام الرقمي"/>
    <n v="1"/>
    <n v="49"/>
    <s v="mada"/>
    <s v="تم التنفيذ"/>
    <s v="الرياض"/>
    <s v="+966"/>
    <s v="mobile"/>
    <s v=""/>
    <s v="فهد الكثيري"/>
    <x v="1"/>
  </r>
  <r>
    <n v="269518891"/>
    <d v="2026-06-30T19:34:50"/>
    <d v="2026-06-30T00:00:00"/>
    <x v="5"/>
    <n v="19"/>
    <s v="الثلاثاء"/>
    <s v="مجموعة فنون التواصل"/>
    <n v="1"/>
    <n v="111"/>
    <s v="mada"/>
    <s v="تم التنفيذ"/>
    <s v="الرياض"/>
    <s v="+966"/>
    <s v="mobile"/>
    <s v=""/>
    <s v="طلال الألانزي"/>
    <x v="1"/>
  </r>
  <r>
    <n v="269667725"/>
    <d v="2026-07-01T08:23:42"/>
    <d v="2026-07-01T00:00:00"/>
    <x v="6"/>
    <n v="8"/>
    <s v="الأربعاء"/>
    <s v="مجموعة فنون التواصل"/>
    <n v="1"/>
    <n v="111"/>
    <s v="mada"/>
    <s v="تم التنفيذ"/>
    <s v="جدة"/>
    <s v="+966"/>
    <s v="mobile"/>
    <s v=""/>
    <s v="نواف"/>
    <x v="1"/>
  </r>
  <r>
    <n v="269865845"/>
    <d v="2026-07-02T00:48:15"/>
    <d v="2026-07-02T00:00:00"/>
    <x v="6"/>
    <n v="0"/>
    <s v="الخميس"/>
    <s v="مجموعة فنون التواصل"/>
    <n v="1"/>
    <n v="111"/>
    <s v="tamara_installment"/>
    <s v="تم التنفيذ"/>
    <s v="تبوك"/>
    <s v="+966"/>
    <s v="mobile"/>
    <s v=""/>
    <s v="عادل"/>
    <x v="1"/>
  </r>
  <r>
    <n v="269883446"/>
    <d v="2026-07-02T02:12:16"/>
    <d v="2026-07-02T00:00:00"/>
    <x v="6"/>
    <n v="2"/>
    <s v="الخميس"/>
    <s v="كتاب فن الكلام الرقمي"/>
    <n v="1"/>
    <n v="49"/>
    <s v="mada"/>
    <s v="تم التنفيذ"/>
    <s v="الرياض"/>
    <s v="+966"/>
    <s v="mobile"/>
    <s v=""/>
    <s v="رامي سليمان"/>
    <x v="1"/>
  </r>
  <r>
    <n v="269887214"/>
    <d v="2026-07-02T02:32:47"/>
    <d v="2026-07-02T00:00:00"/>
    <x v="6"/>
    <n v="2"/>
    <s v="الخميس"/>
    <s v="كتاب فن الإقناع الرقمي"/>
    <n v="1"/>
    <n v="39"/>
    <s v="tamara_installment"/>
    <s v="تم التنفيذ"/>
    <s v="عنيزة"/>
    <s v="+966"/>
    <s v="mobile"/>
    <s v=""/>
    <s v="نهلة"/>
    <x v="0"/>
  </r>
  <r>
    <n v="270304685"/>
    <d v="2026-07-03T23:04:02"/>
    <d v="2026-07-03T00:00:00"/>
    <x v="6"/>
    <n v="23"/>
    <s v="الجمعة"/>
    <s v="كتاب فن الكلام الرقمي"/>
    <n v="1"/>
    <n v="49"/>
    <s v="credit_card"/>
    <s v="تم التنفيذ"/>
    <s v="الرياض"/>
    <s v="+966"/>
    <s v="mobile"/>
    <s v=""/>
    <s v="نايف فيصل"/>
    <x v="1"/>
  </r>
  <r>
    <n v="270358026"/>
    <d v="2026-07-04T04:32:28"/>
    <d v="2026-07-04T00:00:00"/>
    <x v="6"/>
    <n v="4"/>
    <s v="السبت"/>
    <s v="مجموعة فنون التواصل"/>
    <n v="1"/>
    <n v="111"/>
    <s v="tamara_installment"/>
    <s v="تم التنفيذ"/>
    <s v="جدة"/>
    <s v="+966"/>
    <s v="mobile"/>
    <s v=""/>
    <s v="محمد القرني"/>
    <x v="0"/>
  </r>
  <r>
    <n v="270365850"/>
    <d v="2026-07-04T05:42:05"/>
    <d v="2026-07-04T00:00:00"/>
    <x v="6"/>
    <n v="5"/>
    <s v="السبت"/>
    <s v="مجموعة فنون التواصل"/>
    <n v="1"/>
    <n v="111"/>
    <s v="mada"/>
    <s v="تم التنفيذ"/>
    <s v="أضم"/>
    <s v="+966"/>
    <s v="mobile"/>
    <s v=""/>
    <s v="عبدالرحيم السالمي"/>
    <x v="1"/>
  </r>
  <r>
    <n v="270404080"/>
    <d v="2026-07-04T12:59:50"/>
    <d v="2026-07-04T00:00:00"/>
    <x v="6"/>
    <n v="12"/>
    <s v="السبت"/>
    <s v="كتاب فن الكلام الرقمي"/>
    <n v="1"/>
    <n v="49"/>
    <s v="mada"/>
    <s v="تم التنفيذ"/>
    <s v="الرياض"/>
    <s v="+966"/>
    <s v="mobile"/>
    <s v=""/>
    <s v="راضي"/>
    <x v="1"/>
  </r>
  <r>
    <n v="270492059"/>
    <d v="2026-07-04T21:10:04"/>
    <d v="2026-07-04T00:00:00"/>
    <x v="6"/>
    <n v="21"/>
    <s v="السبت"/>
    <s v="كتاب فن الكلام الرقمي"/>
    <n v="1"/>
    <n v="49"/>
    <s v="mada"/>
    <s v="تم التنفيذ"/>
    <s v="الرياض"/>
    <s v="+966"/>
    <s v="mobile"/>
    <s v=""/>
    <s v="عبدالرحمن محمد"/>
    <x v="0"/>
  </r>
  <r>
    <n v="270575146"/>
    <d v="2026-07-05T06:11:02"/>
    <d v="2026-07-05T00:00:00"/>
    <x v="6"/>
    <n v="6"/>
    <s v="الأحد"/>
    <s v="مجموعة فنون التواصل"/>
    <n v="1"/>
    <n v="111"/>
    <s v="tamara_installment"/>
    <s v="تم التنفيذ"/>
    <s v="المدينة المنورة"/>
    <s v="+966"/>
    <s v="mobile"/>
    <s v=""/>
    <s v="حسن العمري"/>
    <x v="1"/>
  </r>
  <r>
    <n v="270830937"/>
    <d v="2026-07-06T13:59:57"/>
    <d v="2026-07-06T00:00:00"/>
    <x v="6"/>
    <n v="13"/>
    <s v="الإثنين"/>
    <s v="كتاب فن الكلام الرقمي"/>
    <n v="1"/>
    <n v="49"/>
    <s v="mada"/>
    <s v="تم التنفيذ"/>
    <s v="الرياض"/>
    <s v="+966"/>
    <s v="mobile"/>
    <s v=""/>
    <s v="عبد العزيز العتيبي"/>
    <x v="1"/>
  </r>
  <r>
    <n v="270830937"/>
    <d v="2026-07-06T13:59:57"/>
    <d v="2026-07-06T00:00:00"/>
    <x v="6"/>
    <n v="13"/>
    <s v="الإثنين"/>
    <s v="كتاب الذكاء الإجتماعي الرقمي"/>
    <n v="1"/>
    <n v="39"/>
    <s v="mada"/>
    <s v="تم التنفيذ"/>
    <s v="الرياض"/>
    <s v="+966"/>
    <s v="mobile"/>
    <s v=""/>
    <s v="عبد العزيز العتيبي"/>
    <x v="1"/>
  </r>
  <r>
    <n v="270864438"/>
    <d v="2026-07-06T17:25:27"/>
    <d v="2026-07-06T00:00:00"/>
    <x v="6"/>
    <n v="17"/>
    <s v="الإثنين"/>
    <s v="كتاب فن الكلام الرقمي"/>
    <n v="1"/>
    <n v="49"/>
    <s v="credit_card"/>
    <s v="تم التنفيذ"/>
    <s v="الرياض"/>
    <s v="+966"/>
    <s v="mobile"/>
    <s v=""/>
    <s v="دانه"/>
    <x v="0"/>
  </r>
  <r>
    <n v="270971879"/>
    <d v="2026-07-07T03:24:24"/>
    <d v="2026-07-07T00:00:00"/>
    <x v="6"/>
    <n v="3"/>
    <s v="الثلاثاء"/>
    <s v="مجموعة فنون التواصل"/>
    <n v="1"/>
    <n v="111"/>
    <s v="tamara_installment"/>
    <s v="تم التنفيذ"/>
    <s v="المدينة المنورة"/>
    <s v="+966"/>
    <s v="mobile"/>
    <s v=""/>
    <s v="محمد الرحيلي"/>
    <x v="1"/>
  </r>
  <r>
    <n v="271157320"/>
    <d v="2026-07-08T03:07:50"/>
    <d v="2026-07-08T00:00:00"/>
    <x v="6"/>
    <n v="3"/>
    <s v="الأربعاء"/>
    <s v="كتاب فن الكلام الرقمي"/>
    <n v="1"/>
    <n v="49"/>
    <s v="mada"/>
    <s v="تم التنفيذ"/>
    <s v="ضبا"/>
    <s v="+966"/>
    <s v="mobile"/>
    <s v=""/>
    <s v="تركي ال فروان"/>
    <x v="1"/>
  </r>
  <r>
    <n v="271225252"/>
    <d v="2026-07-08T15:03:04"/>
    <d v="2026-07-08T00:00:00"/>
    <x v="6"/>
    <n v="15"/>
    <s v="الأربعاء"/>
    <s v="مجموعة فنون التواصل"/>
    <n v="1"/>
    <n v="111"/>
    <s v="mada"/>
    <s v="تم التنفيذ"/>
    <s v="الباحة"/>
    <s v="+966"/>
    <s v="mobile"/>
    <s v=""/>
    <s v="علي عسيري"/>
    <x v="1"/>
  </r>
  <r>
    <n v="272075977"/>
    <d v="2026-07-13T05:07:07"/>
    <d v="2026-07-13T00:00:00"/>
    <x v="6"/>
    <n v="5"/>
    <s v="الإثنين"/>
    <s v="مجموعة فنون التواصل"/>
    <n v="1"/>
    <n v="111"/>
    <s v="mada"/>
    <s v="تم التنفيذ"/>
    <s v="العيينة"/>
    <s v="+966"/>
    <s v="mobile"/>
    <s v=""/>
    <s v="ثامر المطيري"/>
    <x v="1"/>
  </r>
  <r>
    <n v="272210165"/>
    <d v="2026-07-13T23:46:55"/>
    <d v="2026-07-13T00:00:00"/>
    <x v="6"/>
    <n v="23"/>
    <s v="الإثنين"/>
    <s v="كتاب فن الكلام الرقمي"/>
    <n v="1"/>
    <n v="49"/>
    <s v="tamara_installment"/>
    <s v="تم التنفيذ"/>
    <s v="قنا"/>
    <s v="+966"/>
    <s v="mobile"/>
    <s v=""/>
    <s v="ايمان عسيري"/>
    <x v="0"/>
  </r>
  <r>
    <n v="272657566"/>
    <d v="2026-07-16T15:49:01"/>
    <d v="2026-07-16T00:00:00"/>
    <x v="6"/>
    <n v="15"/>
    <s v="الخميس"/>
    <s v="كتاب فن الكلام الرقمي"/>
    <n v="1"/>
    <n v="49"/>
    <s v="mada"/>
    <s v="تم التنفيذ"/>
    <s v="ينبع"/>
    <s v="+966"/>
    <s v="mobile"/>
    <s v=""/>
    <s v="هيثم الجهني"/>
    <x v="1"/>
  </r>
  <r>
    <n v="272817715"/>
    <d v="2026-07-17T16:45:36"/>
    <d v="2026-07-17T00:00:00"/>
    <x v="6"/>
    <n v="16"/>
    <s v="الجمعة"/>
    <s v="مجموعة فنون التواصل"/>
    <n v="1"/>
    <n v="111"/>
    <s v="mada"/>
    <s v="تم التنفيذ"/>
    <s v="مكة المكرمة"/>
    <s v="+966"/>
    <s v="mobile"/>
    <s v=""/>
    <s v="محمد"/>
    <x v="1"/>
  </r>
  <r>
    <n v="272994583"/>
    <d v="2026-07-18T20:07:06"/>
    <d v="2026-07-18T00:00:00"/>
    <x v="6"/>
    <n v="20"/>
    <s v="السبت"/>
    <s v="كتاب فن الكلام الرقمي"/>
    <n v="1"/>
    <n v="49"/>
    <s v="mada"/>
    <s v="تم التنفيذ"/>
    <s v="الرياض"/>
    <s v="+966"/>
    <s v="mobile"/>
    <s v=""/>
    <s v="وليد الدوسري"/>
    <x v="1"/>
  </r>
  <r>
    <n v="273055137"/>
    <d v="2026-07-19T03:21:46"/>
    <d v="2026-07-19T00:00:00"/>
    <x v="6"/>
    <n v="3"/>
    <s v="الأحد"/>
    <s v="كتاب فن الإقناع الرقمي"/>
    <n v="1"/>
    <n v="39"/>
    <s v="tamara_installment"/>
    <s v="تم التنفيذ"/>
    <s v="مستورة"/>
    <s v="+966"/>
    <s v="mobile"/>
    <s v=""/>
    <s v="زياد الحربي"/>
    <x v="1"/>
  </r>
  <r>
    <n v="274339705"/>
    <d v="2026-07-27T10:26:49"/>
    <d v="2026-07-27T00:00:00"/>
    <x v="6"/>
    <n v="10"/>
    <s v="الإثنين"/>
    <s v="كتاب فن الإقناع الرقمي"/>
    <n v="1"/>
    <n v="39"/>
    <s v="mada"/>
    <s v="تم التنفيذ"/>
    <s v="بيشة"/>
    <s v="+966"/>
    <s v="mobile"/>
    <s v=""/>
    <s v="عبدالعزيز الحارثي"/>
    <x v="1"/>
  </r>
  <r>
    <n v="274512576"/>
    <d v="2026-07-27T23:51:13"/>
    <d v="2026-07-27T00:00:00"/>
    <x v="6"/>
    <n v="23"/>
    <s v="الإثنين"/>
    <s v="كتاب الذكاء الإجتماعي الرقمي"/>
    <n v="1"/>
    <n v="39"/>
    <s v="credit_card"/>
    <s v="تم التنفيذ"/>
    <s v="جدة"/>
    <s v="+966"/>
    <s v="mobile"/>
    <s v=""/>
    <s v="فريدة"/>
    <x v="0"/>
  </r>
  <r>
    <n v="275635697"/>
    <d v="2026-08-01T19:14:29"/>
    <d v="2026-08-01T00:00:00"/>
    <x v="7"/>
    <n v="19"/>
    <s v="السبت"/>
    <s v="مجموعة فنون التواصل"/>
    <n v="1"/>
    <n v="111"/>
    <s v="mada"/>
    <s v="تم التنفيذ"/>
    <s v="ينبع"/>
    <s v="+966"/>
    <s v="mobile"/>
    <s v=""/>
    <s v="امل"/>
    <x v="0"/>
  </r>
  <r>
    <n v="276820203"/>
    <d v="2026-08-07T19:14:59"/>
    <d v="2026-08-07T00:00:00"/>
    <x v="7"/>
    <n v="19"/>
    <s v="الجمعة"/>
    <s v="مجموعة فنون التواصل"/>
    <n v="1"/>
    <n v="111"/>
    <s v="tamara_installment"/>
    <s v="تم التنفيذ"/>
    <s v="الرياض"/>
    <s v="+966"/>
    <s v="mobile"/>
    <s v=""/>
    <s v="لولي"/>
    <x v="0"/>
  </r>
  <r>
    <n v="277041396"/>
    <d v="2026-08-09T00:41:07"/>
    <d v="2026-08-09T00:00:00"/>
    <x v="7"/>
    <n v="0"/>
    <s v="الأحد"/>
    <s v="مجموعة فنون التواصل"/>
    <n v="1"/>
    <n v="111"/>
    <s v="mada"/>
    <s v="تم التنفيذ"/>
    <s v="الظهران"/>
    <s v="+966"/>
    <s v="mobile"/>
    <s v=""/>
    <s v="امينه البلوي"/>
    <x v="0"/>
  </r>
  <r>
    <n v="277472059"/>
    <d v="2026-08-11T08:26:09"/>
    <d v="2026-08-11T00:00:00"/>
    <x v="7"/>
    <n v="8"/>
    <s v="الثلاثاء"/>
    <s v="مجموعة فنون التواصل"/>
    <n v="1"/>
    <n v="111"/>
    <s v="credit_card"/>
    <s v="تم التنفيذ"/>
    <s v="الرياض"/>
    <s v="+966"/>
    <s v="mobile"/>
    <s v=""/>
    <s v="سليمان ."/>
    <x v="1"/>
  </r>
  <r>
    <n v="278910906"/>
    <d v="2026-08-19T20:30:08"/>
    <d v="2026-08-19T00:00:00"/>
    <x v="7"/>
    <n v="20"/>
    <s v="الأربعاء"/>
    <s v="كتاب فن الكلام الرقمي"/>
    <n v="1"/>
    <n v="49"/>
    <s v="tamara_installment"/>
    <s v="تم التنفيذ"/>
    <s v="طيب الإسم"/>
    <s v="+966"/>
    <s v="mobile"/>
    <s v=""/>
    <s v="معاذ الحكمي"/>
    <x v="1"/>
  </r>
  <r>
    <n v="279157588"/>
    <d v="2026-08-21T09:41:56"/>
    <d v="2026-08-21T00:00:00"/>
    <x v="7"/>
    <n v="9"/>
    <s v="الجمعة"/>
    <s v="كتاب فن الكلام الرقمي"/>
    <n v="1"/>
    <n v="49"/>
    <s v="mada"/>
    <s v="تم التنفيذ"/>
    <s v="جدة"/>
    <s v="+966"/>
    <s v="mobile"/>
    <s v=""/>
    <s v="عمر"/>
    <x v="1"/>
  </r>
  <r>
    <n v="280033867"/>
    <d v="2026-08-26T02:12:57"/>
    <d v="2026-08-26T00:00:00"/>
    <x v="7"/>
    <n v="2"/>
    <s v="الأربعاء"/>
    <s v="مجموعة فنون التواصل"/>
    <n v="1"/>
    <n v="111"/>
    <s v="mada"/>
    <s v="تم التنفيذ"/>
    <s v="جدة"/>
    <s v="+966"/>
    <s v="mobile"/>
    <s v=""/>
    <s v="ميس"/>
    <x v="0"/>
  </r>
  <r>
    <n v="280787036"/>
    <d v="2026-08-28T17:31:46"/>
    <d v="2026-08-28T00:00:00"/>
    <x v="7"/>
    <n v="17"/>
    <s v="الجمعة"/>
    <s v="مجموعة فنون التواصل"/>
    <n v="1"/>
    <n v="111"/>
    <s v="tamara_installment"/>
    <s v="تم التنفيذ"/>
    <s v="جدة"/>
    <s v="+966"/>
    <s v="mobile"/>
    <s v=""/>
    <s v="عمر العمودي"/>
    <x v="1"/>
  </r>
  <r>
    <n v="281000987"/>
    <d v="2026-08-29T11:30:29"/>
    <d v="2026-08-29T00:00:00"/>
    <x v="7"/>
    <n v="11"/>
    <s v="السبت"/>
    <s v="كتاب فن الكلام الرقمي"/>
    <n v="1"/>
    <n v="49"/>
    <s v="tamara_installment"/>
    <s v="تم التنفيذ"/>
    <s v="مكة المكرمة"/>
    <s v="+966"/>
    <s v="mobile"/>
    <s v=""/>
    <s v="حازم الحربي"/>
    <x v="1"/>
  </r>
  <r>
    <n v="281060580"/>
    <d v="2026-08-29T15:39:48"/>
    <d v="2026-08-29T00:00:00"/>
    <x v="7"/>
    <n v="15"/>
    <s v="السبت"/>
    <s v="مجموعة فنون التواصل"/>
    <n v="1"/>
    <n v="89.03"/>
    <s v="credit_card"/>
    <s v="تم التنفيذ"/>
    <s v="غير معرف"/>
    <s v="+965"/>
    <s v="mobile"/>
    <s v=""/>
    <s v="مريم العازمي"/>
    <x v="0"/>
  </r>
  <r>
    <n v="281341266"/>
    <d v="2026-08-30T15:14:29"/>
    <d v="2026-08-30T00:00:00"/>
    <x v="7"/>
    <n v="15"/>
    <s v="الأحد"/>
    <s v="كتاب فن الإقناع الرقمي"/>
    <n v="1"/>
    <n v="35"/>
    <s v="tamara_installment"/>
    <s v="تم التنفيذ"/>
    <s v="مكة المكرمة"/>
    <s v="+966"/>
    <s v="mobile"/>
    <s v=""/>
    <s v="حازم"/>
    <x v="1"/>
  </r>
  <r>
    <n v="281341266"/>
    <d v="2026-08-30T15:14:29"/>
    <d v="2026-08-30T00:00:00"/>
    <x v="7"/>
    <n v="15"/>
    <s v="الأحد"/>
    <s v="كتاب الذكاء الإجتماعي الرقمي"/>
    <n v="1"/>
    <n v="35"/>
    <s v="tamara_installment"/>
    <s v="تم التنفيذ"/>
    <s v="مكة المكرمة"/>
    <s v="+966"/>
    <s v="mobile"/>
    <s v=""/>
    <s v="حازم"/>
    <x v="1"/>
  </r>
  <r>
    <n v="281435770"/>
    <d v="2026-08-30T20:56:34"/>
    <d v="2026-08-30T00:00:00"/>
    <x v="7"/>
    <n v="20"/>
    <s v="الأحد"/>
    <s v="كتاب فن الكلام الرقمي"/>
    <n v="1"/>
    <n v="39"/>
    <s v="mada"/>
    <s v="تم التنفيذ"/>
    <s v="أبها"/>
    <s v="+966"/>
    <s v="mobile"/>
    <s v=""/>
    <s v="محمد الجرني"/>
    <x v="1"/>
  </r>
  <r>
    <n v="281565698"/>
    <d v="2026-08-31T09:00:32"/>
    <d v="2026-08-31T00:00:00"/>
    <x v="7"/>
    <n v="9"/>
    <s v="الإثنين"/>
    <s v="مجموعة فنون التواصل"/>
    <n v="1"/>
    <n v="89"/>
    <s v="mada"/>
    <s v="تم التنفيذ"/>
    <s v="الرياض"/>
    <s v="+966"/>
    <s v="mobile"/>
    <s v=""/>
    <s v="محمد الحضيف"/>
    <x v="1"/>
  </r>
  <r>
    <n v="281608347"/>
    <d v="2026-08-31T13:13:58"/>
    <d v="2026-08-31T00:00:00"/>
    <x v="7"/>
    <n v="13"/>
    <s v="الإثنين"/>
    <s v="مجموعة فنون التواصل"/>
    <n v="1"/>
    <n v="89"/>
    <s v="mada"/>
    <s v="تم التنفيذ"/>
    <s v="الرفيعة"/>
    <s v="+966"/>
    <s v="mobile"/>
    <s v=""/>
    <s v="عبد العزيز فرحان الرويلي"/>
    <x v="1"/>
  </r>
  <r>
    <n v="281613065"/>
    <d v="2026-08-31T13:37:06"/>
    <d v="2026-08-31T00:00:00"/>
    <x v="7"/>
    <n v="13"/>
    <s v="الإثنين"/>
    <s v="مجموعة فنون التواصل"/>
    <n v="1"/>
    <n v="89"/>
    <s v="mada"/>
    <s v="تم التنفيذ"/>
    <s v="الرياض"/>
    <s v="+966"/>
    <s v="mobile"/>
    <s v=""/>
    <s v="فيصل القحطاني"/>
    <x v="1"/>
  </r>
  <r>
    <n v="281634169"/>
    <d v="2026-08-31T15:11:39"/>
    <d v="2026-08-31T00:00:00"/>
    <x v="7"/>
    <n v="15"/>
    <s v="الإثنين"/>
    <s v="كتاب فن الكلام الرقمي"/>
    <n v="1"/>
    <n v="39"/>
    <s v="credit_card"/>
    <s v="تم التنفيذ"/>
    <s v="جدة"/>
    <s v="+966"/>
    <s v="mobile"/>
    <s v=""/>
    <s v="أيمن الغامدي"/>
    <x v="1"/>
  </r>
  <r>
    <n v="281654437"/>
    <d v="2026-08-31T16:42:28"/>
    <d v="2026-08-31T00:00:00"/>
    <x v="7"/>
    <n v="16"/>
    <s v="الإثنين"/>
    <s v="مجموعة فنون التواصل"/>
    <n v="1"/>
    <n v="89"/>
    <s v="tamara_installment"/>
    <s v="تم التنفيذ"/>
    <s v="الرياض"/>
    <s v="+966"/>
    <s v="mobile"/>
    <s v=""/>
    <s v="عبدالله الحريص"/>
    <x v="1"/>
  </r>
  <r>
    <n v="281866152"/>
    <d v="2026-09-01T07:12:54"/>
    <d v="2026-09-01T00:00:00"/>
    <x v="8"/>
    <n v="7"/>
    <s v="الثلاثاء"/>
    <s v="كتاب فن الكلام الرقمي"/>
    <n v="1"/>
    <n v="39"/>
    <s v="tamara_installment"/>
    <s v="تم التنفيذ"/>
    <s v="الرياض"/>
    <s v="+966"/>
    <s v="mobile"/>
    <s v=""/>
    <s v="نشوان الخللو"/>
    <x v="1"/>
  </r>
  <r>
    <n v="281898887"/>
    <d v="2026-09-01T10:31:48"/>
    <d v="2026-09-01T00:00:00"/>
    <x v="8"/>
    <n v="10"/>
    <s v="الثلاثاء"/>
    <s v="كتاب فن الكلام الرقمي"/>
    <n v="1"/>
    <n v="39"/>
    <s v="credit_card"/>
    <s v="تم التنفيذ"/>
    <s v="الظهران"/>
    <s v="+966"/>
    <s v="mobile"/>
    <s v=""/>
    <s v="محمد الشهري"/>
    <x v="1"/>
  </r>
  <r>
    <n v="281987342"/>
    <d v="2026-09-01T16:09:50"/>
    <d v="2026-09-01T00:00:00"/>
    <x v="8"/>
    <n v="16"/>
    <s v="الثلاثاء"/>
    <s v="كتاب فن الكلام الرقمي"/>
    <n v="1"/>
    <n v="39"/>
    <s v="credit_card"/>
    <s v="تم التنفيذ"/>
    <s v="الرياض"/>
    <s v="+966"/>
    <s v="mobile"/>
    <s v=""/>
    <s v="العنود"/>
    <x v="0"/>
  </r>
  <r>
    <n v="282197939"/>
    <d v="2026-09-02T05:05:48"/>
    <d v="2026-09-02T00:00:00"/>
    <x v="8"/>
    <n v="5"/>
    <s v="الأربعاء"/>
    <s v="مجموعة فنون التواصل"/>
    <n v="1"/>
    <n v="89"/>
    <s v="credit_card"/>
    <s v="تم التنفيذ"/>
    <s v="الرياض"/>
    <s v="+966"/>
    <s v="mobile"/>
    <s v=""/>
    <s v="عبدالله الفهمي"/>
    <x v="1"/>
  </r>
  <r>
    <n v="282301768"/>
    <d v="2026-09-02T14:28:51"/>
    <d v="2026-09-02T00:00:00"/>
    <x v="8"/>
    <n v="14"/>
    <s v="الأربعاء"/>
    <s v="مجموعة فنون التواصل"/>
    <n v="1"/>
    <n v="89"/>
    <s v="credit_card"/>
    <s v="تم التنفيذ"/>
    <s v="الهفوف"/>
    <s v="+966"/>
    <s v="mobile"/>
    <s v=""/>
    <s v="ياسر الأول"/>
    <x v="1"/>
  </r>
  <r>
    <n v="282306061"/>
    <d v="2026-09-02T14:46:33"/>
    <d v="2026-09-02T00:00:00"/>
    <x v="8"/>
    <n v="14"/>
    <s v="الأربعاء"/>
    <s v="مجموعة فنون التواصل"/>
    <n v="1"/>
    <n v="89"/>
    <s v="mada"/>
    <s v="تم التنفيذ"/>
    <s v="الهفوف"/>
    <s v="+966"/>
    <s v="mobile"/>
    <s v=""/>
    <s v="خالد"/>
    <x v="1"/>
  </r>
  <r>
    <n v="282444699"/>
    <d v="2026-09-02T22:53:05"/>
    <d v="2026-09-02T00:00:00"/>
    <x v="8"/>
    <n v="22"/>
    <s v="الأربعاء"/>
    <s v="مجموعة فنون التواصل"/>
    <n v="1"/>
    <n v="89"/>
    <s v="credit_card"/>
    <s v="تم التنفيذ"/>
    <s v="الرياض"/>
    <s v="+966"/>
    <s v="mobile"/>
    <s v=""/>
    <s v="عاطف البلوي"/>
    <x v="1"/>
  </r>
  <r>
    <n v="282566975"/>
    <d v="2026-09-03T10:50:58"/>
    <d v="2026-09-03T00:00:00"/>
    <x v="8"/>
    <n v="10"/>
    <s v="الخميس"/>
    <s v="كتاب فن الكلام الرقمي"/>
    <n v="1"/>
    <n v="39"/>
    <s v="mada"/>
    <s v="تم التنفيذ"/>
    <s v="الرياض"/>
    <s v="+966"/>
    <s v="mobile"/>
    <s v=""/>
    <s v="عبدالرحمن القحطاني"/>
    <x v="1"/>
  </r>
  <r>
    <n v="282650550"/>
    <d v="2026-09-03T17:05:20"/>
    <d v="2026-09-03T00:00:00"/>
    <x v="8"/>
    <n v="17"/>
    <s v="الخميس"/>
    <s v="كتاب فن الكلام الرقمي"/>
    <n v="1"/>
    <n v="39"/>
    <s v="tamara_installment"/>
    <s v="تم التنفيذ"/>
    <s v="الرياض"/>
    <s v="+966"/>
    <s v="mobile"/>
    <s v=""/>
    <s v="نايف العضياني"/>
    <x v="1"/>
  </r>
  <r>
    <n v="283062714"/>
    <d v="2026-09-05T00:53:02"/>
    <d v="2026-09-05T00:00:00"/>
    <x v="8"/>
    <n v="0"/>
    <s v="السبت"/>
    <s v="مجموعة فنون التواصل"/>
    <n v="1"/>
    <n v="89"/>
    <s v="credit_card"/>
    <s v="تم التنفيذ"/>
    <s v="حائل"/>
    <s v="+966"/>
    <s v="mobile"/>
    <s v=""/>
    <s v="سلطان"/>
    <x v="1"/>
  </r>
  <r>
    <n v="283372305"/>
    <d v="2026-09-06T01:51:48"/>
    <d v="2026-09-06T00:00:00"/>
    <x v="8"/>
    <n v="1"/>
    <s v="الأحد"/>
    <s v="كتاب فن الكلام الرقمي"/>
    <n v="1"/>
    <n v="39"/>
    <s v="mada"/>
    <s v="تم التنفيذ"/>
    <s v="الجبيل الصناعية"/>
    <s v="+966"/>
    <s v="desktop"/>
    <s v=""/>
    <s v="محمد"/>
    <x v="1"/>
  </r>
  <r>
    <n v="283389469"/>
    <d v="2026-09-06T04:04:23"/>
    <d v="2026-09-06T00:00:00"/>
    <x v="8"/>
    <n v="4"/>
    <s v="الأحد"/>
    <s v="مجموعة فنون التواصل"/>
    <n v="1"/>
    <n v="89"/>
    <s v="tamara_installment"/>
    <s v="تم التنفيذ"/>
    <s v="ام العقل وتشمل"/>
    <s v="+966"/>
    <s v="mobile"/>
    <s v=""/>
    <s v="شوهان"/>
    <x v="1"/>
  </r>
  <r>
    <n v="283483740"/>
    <d v="2026-09-06T14:17:41"/>
    <d v="2026-09-06T00:00:00"/>
    <x v="8"/>
    <n v="14"/>
    <s v="الأحد"/>
    <s v="مجموعة فنون التواصل"/>
    <n v="1"/>
    <n v="89"/>
    <s v="mada"/>
    <s v="تم التنفيذ"/>
    <s v="الجبيل"/>
    <s v="+966"/>
    <s v="mobile"/>
    <s v=""/>
    <s v="عبدالعزيز"/>
    <x v="1"/>
  </r>
  <r>
    <n v="283518189"/>
    <d v="2026-09-06T16:21:02"/>
    <d v="2026-09-06T00:00:00"/>
    <x v="8"/>
    <n v="16"/>
    <s v="الأحد"/>
    <s v="كتاب فن الكلام الرقمي"/>
    <n v="1"/>
    <n v="39"/>
    <s v="mada"/>
    <s v="تم التنفيذ"/>
    <s v="ينبع"/>
    <s v="+966"/>
    <s v="mobile"/>
    <s v=""/>
    <s v="علي عسيري"/>
    <x v="1"/>
  </r>
  <r>
    <n v="283566288"/>
    <d v="2026-09-06T18:42:12"/>
    <d v="2026-09-06T00:00:00"/>
    <x v="8"/>
    <n v="18"/>
    <s v="الأحد"/>
    <s v="كتاب فن الكلام الرقمي"/>
    <n v="1"/>
    <n v="39"/>
    <s v="mada"/>
    <s v="تم التنفيذ"/>
    <s v="مكة المكرمة"/>
    <s v="+966"/>
    <s v="mobile"/>
    <s v=""/>
    <s v="سهيل الحربي"/>
    <x v="1"/>
  </r>
  <r>
    <n v="283655566"/>
    <d v="2026-09-06T22:36:58"/>
    <d v="2026-09-06T00:00:00"/>
    <x v="8"/>
    <n v="22"/>
    <s v="الأحد"/>
    <s v="كتاب فن الكلام الرقمي"/>
    <n v="1"/>
    <n v="49"/>
    <s v="mada"/>
    <s v="تم التنفيذ"/>
    <s v="المدينة المنورة"/>
    <s v="+966"/>
    <s v="mobile"/>
    <s v=""/>
    <s v="عبدالعزيز المغامسي"/>
    <x v="1"/>
  </r>
  <r>
    <n v="283672865"/>
    <d v="2026-09-06T23:20:18"/>
    <d v="2026-09-06T00:00:00"/>
    <x v="8"/>
    <n v="23"/>
    <s v="الأحد"/>
    <s v="كتاب فن الكلام الرقمي"/>
    <n v="1"/>
    <n v="49"/>
    <s v="tamara_installment"/>
    <s v="تم التنفيذ"/>
    <s v="الرياض"/>
    <s v="+966"/>
    <s v="mobile"/>
    <s v=""/>
    <s v="فهد مجرشي"/>
    <x v="1"/>
  </r>
  <r>
    <n v="283676806"/>
    <d v="2026-09-06T23:30:59"/>
    <d v="2026-09-06T00:00:00"/>
    <x v="8"/>
    <n v="23"/>
    <s v="الأحد"/>
    <s v="كتاب فن الكلام الرقمي"/>
    <n v="1"/>
    <n v="49"/>
    <s v="mada"/>
    <s v="تم التنفيذ"/>
    <s v="محافظة الريث"/>
    <s v="+966"/>
    <s v="mobile"/>
    <s v=""/>
    <s v="يحيا سهلولي"/>
    <x v="1"/>
  </r>
  <r>
    <n v="283690170"/>
    <d v="2026-09-07T00:06:48"/>
    <d v="2026-09-07T00:00:00"/>
    <x v="8"/>
    <n v="0"/>
    <s v="الإثنين"/>
    <s v="كتاب فن الكلام الرقمي"/>
    <n v="1"/>
    <n v="49"/>
    <s v="mada"/>
    <s v="تم التنفيذ"/>
    <s v="الرياض"/>
    <s v="+966"/>
    <s v="mobile"/>
    <s v=""/>
    <s v="صالح الشقير"/>
    <x v="1"/>
  </r>
  <r>
    <n v="283810924"/>
    <d v="2026-09-07T08:20:48"/>
    <d v="2026-09-07T00:00:00"/>
    <x v="8"/>
    <n v="8"/>
    <s v="الإثنين"/>
    <s v="مجموعة فنون التواصل"/>
    <n v="1"/>
    <n v="89"/>
    <s v="mada"/>
    <s v="تم التنفيذ"/>
    <s v="الرياض"/>
    <s v="+966"/>
    <s v="mobile"/>
    <s v=""/>
    <s v="نايف محمد"/>
    <x v="1"/>
  </r>
  <r>
    <n v="284183175"/>
    <d v="2026-09-08T15:05:26"/>
    <d v="2026-09-08T00:00:00"/>
    <x v="8"/>
    <n v="15"/>
    <s v="الثلاثاء"/>
    <s v="كتاب فن الكلام الرقمي"/>
    <n v="1"/>
    <n v="49"/>
    <s v="mada"/>
    <s v="تم التنفيذ"/>
    <s v="الضبعية"/>
    <s v="+966"/>
    <s v="mobile"/>
    <s v=""/>
    <s v="عمر القحطاني"/>
    <x v="1"/>
  </r>
  <r>
    <n v="284297636"/>
    <d v="2026-09-08T22:23:56"/>
    <d v="2026-09-08T00:00:00"/>
    <x v="8"/>
    <n v="22"/>
    <s v="الثلاثاء"/>
    <s v="مجموعة فنون التواصل"/>
    <n v="1"/>
    <n v="89"/>
    <s v="credit_card"/>
    <s v="تم التنفيذ"/>
    <s v="الرياض"/>
    <s v="+966"/>
    <s v="mobile"/>
    <s v=""/>
    <s v="عاصم تركي"/>
    <x v="1"/>
  </r>
  <r>
    <n v="284347320"/>
    <d v="2026-09-09T01:56:54"/>
    <d v="2026-09-09T00:00:00"/>
    <x v="8"/>
    <n v="1"/>
    <s v="الأربعاء"/>
    <s v="كتاب فن الكلام الرقمي"/>
    <n v="1"/>
    <n v="49"/>
    <s v="mada"/>
    <s v="تم التنفيذ"/>
    <s v="الرياض"/>
    <s v="+966"/>
    <s v="mobile"/>
    <s v=""/>
    <s v="عبدالله"/>
    <x v="1"/>
  </r>
  <r>
    <n v="284695914"/>
    <d v="2026-09-10T11:03:53"/>
    <d v="2026-09-10T00:00:00"/>
    <x v="8"/>
    <n v="11"/>
    <s v="الخميس"/>
    <s v="كتاب فن الكلام الرقمي"/>
    <n v="1"/>
    <n v="49"/>
    <s v="mada"/>
    <s v="تم التنفيذ"/>
    <s v="الرياض"/>
    <s v="+966"/>
    <s v="mobile"/>
    <s v=""/>
    <s v="فارس القحطاني"/>
    <x v="1"/>
  </r>
  <r>
    <n v="284747416"/>
    <d v="2026-09-10T15:08:01"/>
    <d v="2026-09-10T00:00:00"/>
    <x v="8"/>
    <n v="15"/>
    <s v="الخميس"/>
    <s v="مجموعة فنون التواصل"/>
    <n v="1"/>
    <n v="89"/>
    <s v="mada"/>
    <s v="تم التنفيذ"/>
    <s v="خميس مشيط"/>
    <s v="+966"/>
    <s v="mobile"/>
    <s v=""/>
    <s v="محمد الشهري"/>
    <x v="1"/>
  </r>
  <r>
    <n v="284748142"/>
    <d v="2026-09-10T15:11:12"/>
    <d v="2026-09-10T00:00:00"/>
    <x v="8"/>
    <n v="15"/>
    <s v="الخميس"/>
    <s v="كتاب فن الكلام الرقمي"/>
    <n v="1"/>
    <n v="49"/>
    <s v="mada"/>
    <s v="تم التنفيذ"/>
    <s v="الرياض"/>
    <s v="+966"/>
    <s v="mobile"/>
    <s v=""/>
    <s v="عبدالسلام العتيبي"/>
    <x v="1"/>
  </r>
  <r>
    <n v="284910670"/>
    <d v="2026-09-11T02:14:00"/>
    <d v="2026-09-11T00:00:00"/>
    <x v="8"/>
    <n v="2"/>
    <s v="الجمعة"/>
    <s v="مجموعة فنون التواصل"/>
    <n v="1"/>
    <n v="99"/>
    <s v="tamara_installment"/>
    <s v="تم التنفيذ"/>
    <s v="جازان"/>
    <s v="+966"/>
    <s v="mobile"/>
    <s v=""/>
    <s v="فاطمه احمد"/>
    <x v="0"/>
  </r>
  <r>
    <n v="285098973"/>
    <d v="2026-09-11T19:42:19"/>
    <d v="2026-09-11T00:00:00"/>
    <x v="8"/>
    <n v="19"/>
    <s v="الجمعة"/>
    <s v="مجموعة فنون التواصل"/>
    <n v="1"/>
    <n v="99.04"/>
    <s v="credit_card"/>
    <s v="تم التنفيذ"/>
    <s v="الأحمدي"/>
    <s v="+965"/>
    <s v="mobile"/>
    <s v=""/>
    <s v="عبد الله"/>
    <x v="1"/>
  </r>
  <r>
    <n v="285141976"/>
    <d v="2026-09-11T22:35:22"/>
    <d v="2026-09-11T00:00:00"/>
    <x v="8"/>
    <n v="22"/>
    <s v="الجمعة"/>
    <s v="كتاب فن الكلام الرقمي"/>
    <n v="1"/>
    <n v="49"/>
    <s v="mada"/>
    <s v="تم التنفيذ"/>
    <s v="الرياض"/>
    <s v="+966"/>
    <s v="mobile"/>
    <s v=""/>
    <s v="فيصل الناصر"/>
    <x v="1"/>
  </r>
  <r>
    <n v="285450736"/>
    <d v="2026-09-13T00:21:43"/>
    <d v="2026-09-13T00:00:00"/>
    <x v="8"/>
    <n v="0"/>
    <s v="الأحد"/>
    <s v="كتاب فن الكلام الرقمي"/>
    <n v="1"/>
    <n v="49"/>
    <s v="mada"/>
    <s v="تم التنفيذ"/>
    <s v="مكة المكرمة"/>
    <s v="+966"/>
    <s v="mobile"/>
    <s v=""/>
    <s v="سعد"/>
    <x v="1"/>
  </r>
  <r>
    <n v="285467662"/>
    <d v="2026-09-13T01:48:15"/>
    <d v="2026-09-13T00:00:00"/>
    <x v="8"/>
    <n v="1"/>
    <s v="الأحد"/>
    <s v="كتاب فن الكلام الرقمي"/>
    <n v="1"/>
    <n v="49"/>
    <s v="mada"/>
    <s v="تم التنفيذ"/>
    <s v="الرياض"/>
    <s v="+966"/>
    <s v="mobile"/>
    <s v=""/>
    <s v="بدر الشمالي"/>
    <x v="1"/>
  </r>
  <r>
    <n v="285498868"/>
    <d v="2026-09-13T06:51:05"/>
    <d v="2026-09-13T00:00:00"/>
    <x v="8"/>
    <n v="6"/>
    <s v="الأحد"/>
    <s v="مجموعة فنون التواصل"/>
    <n v="1"/>
    <n v="99"/>
    <s v="tamara_installment"/>
    <s v="تم التنفيذ"/>
    <s v="تبوك"/>
    <s v="+966"/>
    <s v="mobile"/>
    <s v=""/>
    <s v="الجماز حسان"/>
    <x v="1"/>
  </r>
  <r>
    <n v="285768680"/>
    <d v="2026-09-14T07:53:37"/>
    <d v="2026-09-14T00:00:00"/>
    <x v="8"/>
    <n v="7"/>
    <s v="الإثنين"/>
    <s v="مجموعة فنون التواصل"/>
    <n v="1"/>
    <n v="99"/>
    <s v="mada"/>
    <s v="تم التنفيذ"/>
    <s v="الرياض"/>
    <s v="+966"/>
    <s v="mobile"/>
    <s v=""/>
    <s v="محمد"/>
    <x v="1"/>
  </r>
  <r>
    <n v="285853713"/>
    <d v="2026-09-14T16:38:08"/>
    <d v="2026-09-14T00:00:00"/>
    <x v="8"/>
    <n v="16"/>
    <s v="الإثنين"/>
    <s v="مجموعة فنون التواصل"/>
    <n v="1"/>
    <n v="99"/>
    <s v="mada"/>
    <s v="تم التنفيذ"/>
    <s v="الرياض"/>
    <s v="+966"/>
    <s v="mobile"/>
    <s v=""/>
    <s v="خميس الحازمي"/>
    <x v="1"/>
  </r>
  <r>
    <n v="286056145"/>
    <d v="2026-09-15T11:53:04"/>
    <d v="2026-09-15T00:00:00"/>
    <x v="8"/>
    <n v="11"/>
    <s v="الثلاثاء"/>
    <s v="كتاب فن الكلام الرقمي"/>
    <n v="1"/>
    <n v="49"/>
    <s v="mada"/>
    <s v="تم التنفيذ"/>
    <s v="الرياض"/>
    <s v="+966"/>
    <s v="mobile"/>
    <s v=""/>
    <s v="خالد شبيب"/>
    <x v="1"/>
  </r>
  <r>
    <n v="286064862"/>
    <d v="2026-09-15T12:50:10"/>
    <d v="2026-09-15T00:00:00"/>
    <x v="8"/>
    <n v="12"/>
    <s v="الثلاثاء"/>
    <s v="مجموعة فنون التواصل"/>
    <n v="1"/>
    <n v="99"/>
    <s v="credit_card"/>
    <s v="تم التنفيذ"/>
    <s v="الرياض"/>
    <s v="+966"/>
    <s v="mobile"/>
    <s v=""/>
    <s v="أحمد السعيدي"/>
    <x v="1"/>
  </r>
  <r>
    <n v="286269764"/>
    <d v="2026-09-16T06:38:11"/>
    <d v="2026-09-16T00:00:00"/>
    <x v="8"/>
    <n v="6"/>
    <s v="الأربعاء"/>
    <s v="مجموعة فنون التواصل"/>
    <n v="1"/>
    <n v="99"/>
    <s v="tamara_installment"/>
    <s v="تم التنفيذ"/>
    <s v="جدة"/>
    <s v="+966"/>
    <s v="mobile"/>
    <s v=""/>
    <s v="علي"/>
    <x v="1"/>
  </r>
  <r>
    <n v="286829598"/>
    <d v="2026-09-18T15:04:22"/>
    <d v="2026-09-18T00:00:00"/>
    <x v="8"/>
    <n v="15"/>
    <s v="الجمعة"/>
    <s v="كتاب فن الكلام الرقمي"/>
    <n v="1"/>
    <n v="48.97"/>
    <s v="credit_card"/>
    <s v="تم التنفيذ"/>
    <s v="غير معرف"/>
    <s v="+968"/>
    <s v="mobile"/>
    <s v=""/>
    <s v="شامس الغيثي"/>
    <x v="1"/>
  </r>
  <r>
    <n v="286829598"/>
    <d v="2026-09-18T15:04:22"/>
    <d v="2026-09-18T00:00:00"/>
    <x v="8"/>
    <n v="15"/>
    <s v="الجمعة"/>
    <s v="كتاب فن الإقناع الرقمي"/>
    <n v="1"/>
    <n v="35.049999999999997"/>
    <s v="credit_card"/>
    <s v="تم التنفيذ"/>
    <s v="غير معرف"/>
    <s v="+968"/>
    <s v="mobile"/>
    <s v=""/>
    <s v="شامس الغيثي"/>
    <x v="1"/>
  </r>
  <r>
    <n v="287764586"/>
    <d v="2026-09-22T11:22:26"/>
    <d v="2026-09-22T00:00:00"/>
    <x v="8"/>
    <n v="11"/>
    <s v="الثلاثاء"/>
    <s v="كتاب فن الكلام الرقمي"/>
    <n v="1"/>
    <n v="49"/>
    <s v="mada"/>
    <s v="تم التنفيذ"/>
    <s v="الرياض"/>
    <s v="+966"/>
    <s v="mobile"/>
    <s v=""/>
    <s v="نوره الحصيني"/>
    <x v="0"/>
  </r>
  <r>
    <n v="288007319"/>
    <d v="2026-09-23T03:15:53"/>
    <d v="2026-09-23T00:00:00"/>
    <x v="8"/>
    <n v="3"/>
    <s v="الأربعاء"/>
    <s v="مجموعة فنون التواصل"/>
    <n v="1"/>
    <n v="99"/>
    <s v="credit_card"/>
    <s v="تم التنفيذ"/>
    <s v="غير معرف"/>
    <s v="+44"/>
    <s v="mobile"/>
    <s v=""/>
    <s v="خالد عالم"/>
    <x v="1"/>
  </r>
  <r>
    <n v="288166019"/>
    <d v="2026-09-23T17:30:52"/>
    <d v="2026-09-23T00:00:00"/>
    <x v="8"/>
    <n v="17"/>
    <s v="الأربعاء"/>
    <s v="مجموعة فنون التواصل"/>
    <n v="1"/>
    <n v="99"/>
    <s v="credit_card"/>
    <s v="تم التنفيذ"/>
    <s v="الدوحة"/>
    <s v="+974"/>
    <m/>
    <s v=""/>
    <s v="يوسف دحبور"/>
    <x v="1"/>
  </r>
  <r>
    <n v="288653540"/>
    <d v="2026-09-25T12:52:09"/>
    <d v="2026-09-25T00:00:00"/>
    <x v="8"/>
    <n v="12"/>
    <s v="الجمعة"/>
    <s v="مجموعة فنون التواصل"/>
    <n v="1"/>
    <n v="99"/>
    <s v="tamara_installment"/>
    <s v="تم التنفيذ"/>
    <s v="الجبيل"/>
    <s v="+966"/>
    <s v="mobile"/>
    <s v=""/>
    <s v="نوره ناجي"/>
    <x v="0"/>
  </r>
  <r>
    <n v="288670027"/>
    <d v="2026-09-25T14:04:02"/>
    <d v="2026-09-25T00:00:00"/>
    <x v="8"/>
    <n v="14"/>
    <s v="الجمعة"/>
    <s v="مجموعة فنون التواصل"/>
    <n v="1"/>
    <n v="99"/>
    <s v="mada"/>
    <s v="تم التنفيذ"/>
    <s v="جدة"/>
    <s v="+966"/>
    <m/>
    <s v=""/>
    <s v="محمود"/>
    <x v="1"/>
  </r>
  <r>
    <n v="289459290"/>
    <d v="2026-09-27T20:42:16"/>
    <d v="2026-09-27T00:00:00"/>
    <x v="8"/>
    <n v="20"/>
    <s v="الأحد"/>
    <s v="كتاب فن الكلام الرقمي"/>
    <n v="1"/>
    <n v="49"/>
    <s v="mada"/>
    <s v="تم التنفيذ"/>
    <s v="المدينة المنورة"/>
    <s v="+966"/>
    <s v="mobile"/>
    <s v=""/>
    <s v="ناهر الحربي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E86AA-6B3F-425A-B669-70B3CFA37C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17">
    <pivotField showAll="0"/>
    <pivotField numFmtId="164" showAll="0"/>
    <pivotField numFmtId="165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</pivotFields>
  <rowFields count="2">
    <field x="16"/>
    <field x="3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t="grand">
      <x/>
    </i>
  </rowItems>
  <colItems count="1">
    <i/>
  </colItems>
  <dataFields count="1">
    <dataField name="Sum of الإجمالي (ريال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zoomScaleNormal="100" workbookViewId="0"/>
  </sheetViews>
  <sheetFormatPr defaultColWidth="8.6640625" defaultRowHeight="14.4"/>
  <cols>
    <col min="1" max="1" width="11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 ht="27">
      <c r="A6" s="1" t="s">
        <v>5</v>
      </c>
    </row>
    <row r="7" spans="1:1">
      <c r="A7" s="1" t="s">
        <v>6</v>
      </c>
    </row>
    <row r="8" spans="1:1">
      <c r="A8" s="1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AB57-9979-4103-B918-8FBBD01D3CF3}">
  <dimension ref="A3:B26"/>
  <sheetViews>
    <sheetView rightToLeft="1" workbookViewId="0">
      <selection activeCell="B7" sqref="B7"/>
    </sheetView>
  </sheetViews>
  <sheetFormatPr defaultRowHeight="14.4"/>
  <cols>
    <col min="1" max="1" width="12.5546875" bestFit="1" customWidth="1"/>
    <col min="2" max="2" width="17.44140625" bestFit="1" customWidth="1"/>
    <col min="3" max="3" width="9" bestFit="1" customWidth="1"/>
    <col min="4" max="4" width="8.6640625" bestFit="1" customWidth="1"/>
    <col min="5" max="5" width="8" bestFit="1" customWidth="1"/>
    <col min="6" max="6" width="10.77734375" bestFit="1" customWidth="1"/>
    <col min="7" max="7" width="18.6640625" bestFit="1" customWidth="1"/>
    <col min="8" max="9" width="7" bestFit="1" customWidth="1"/>
    <col min="10" max="10" width="21.5546875" bestFit="1" customWidth="1"/>
    <col min="11" max="11" width="18" bestFit="1" customWidth="1"/>
    <col min="12" max="12" width="8" bestFit="1" customWidth="1"/>
    <col min="13" max="13" width="8.6640625" bestFit="1" customWidth="1"/>
    <col min="14" max="14" width="7" bestFit="1" customWidth="1"/>
    <col min="15" max="15" width="20.77734375" bestFit="1" customWidth="1"/>
    <col min="16" max="16" width="18.6640625" bestFit="1" customWidth="1"/>
    <col min="17" max="18" width="8" bestFit="1" customWidth="1"/>
    <col min="19" max="19" width="21.5546875" bestFit="1" customWidth="1"/>
    <col min="20" max="20" width="10.77734375" bestFit="1" customWidth="1"/>
  </cols>
  <sheetData>
    <row r="3" spans="1:2">
      <c r="A3" s="17" t="s">
        <v>153</v>
      </c>
      <c r="B3" t="s">
        <v>155</v>
      </c>
    </row>
    <row r="4" spans="1:2">
      <c r="A4" s="20" t="s">
        <v>157</v>
      </c>
      <c r="B4">
        <v>3026.0299999999997</v>
      </c>
    </row>
    <row r="5" spans="1:2">
      <c r="A5" s="21" t="s">
        <v>133</v>
      </c>
      <c r="B5">
        <v>960</v>
      </c>
    </row>
    <row r="6" spans="1:2">
      <c r="A6" s="21" t="s">
        <v>134</v>
      </c>
      <c r="B6">
        <v>98</v>
      </c>
    </row>
    <row r="7" spans="1:2">
      <c r="A7" s="21" t="s">
        <v>135</v>
      </c>
      <c r="B7">
        <v>245</v>
      </c>
    </row>
    <row r="8" spans="1:2">
      <c r="A8" s="21" t="s">
        <v>136</v>
      </c>
      <c r="B8">
        <v>49</v>
      </c>
    </row>
    <row r="9" spans="1:2">
      <c r="A9" s="21" t="s">
        <v>137</v>
      </c>
      <c r="B9">
        <v>245</v>
      </c>
    </row>
    <row r="10" spans="1:2">
      <c r="A10" s="21" t="s">
        <v>138</v>
      </c>
      <c r="B10">
        <v>274</v>
      </c>
    </row>
    <row r="11" spans="1:2">
      <c r="A11" s="21" t="s">
        <v>139</v>
      </c>
      <c r="B11">
        <v>336</v>
      </c>
    </row>
    <row r="12" spans="1:2">
      <c r="A12" s="21" t="s">
        <v>140</v>
      </c>
      <c r="B12">
        <v>533.03</v>
      </c>
    </row>
    <row r="13" spans="1:2">
      <c r="A13" s="21" t="s">
        <v>141</v>
      </c>
      <c r="B13">
        <v>286</v>
      </c>
    </row>
    <row r="14" spans="1:2">
      <c r="A14" s="20" t="s">
        <v>158</v>
      </c>
      <c r="B14">
        <v>15351.16</v>
      </c>
    </row>
    <row r="15" spans="1:2">
      <c r="A15" s="21" t="s">
        <v>133</v>
      </c>
      <c r="B15">
        <v>196</v>
      </c>
    </row>
    <row r="16" spans="1:2">
      <c r="A16" s="21" t="s">
        <v>134</v>
      </c>
      <c r="B16">
        <v>979.97</v>
      </c>
    </row>
    <row r="17" spans="1:2">
      <c r="A17" s="21" t="s">
        <v>135</v>
      </c>
      <c r="B17">
        <v>980.13</v>
      </c>
    </row>
    <row r="18" spans="1:2">
      <c r="A18" s="21" t="s">
        <v>136</v>
      </c>
      <c r="B18">
        <v>490</v>
      </c>
    </row>
    <row r="19" spans="1:2">
      <c r="A19" s="21" t="s">
        <v>137</v>
      </c>
      <c r="B19">
        <v>4403</v>
      </c>
    </row>
    <row r="20" spans="1:2">
      <c r="A20" s="21" t="s">
        <v>138</v>
      </c>
      <c r="B20">
        <v>3306</v>
      </c>
    </row>
    <row r="21" spans="1:2">
      <c r="A21" s="21" t="s">
        <v>139</v>
      </c>
      <c r="B21">
        <v>1348</v>
      </c>
    </row>
    <row r="22" spans="1:2">
      <c r="A22" s="21" t="s">
        <v>140</v>
      </c>
      <c r="B22">
        <v>873</v>
      </c>
    </row>
    <row r="23" spans="1:2">
      <c r="A23" s="21" t="s">
        <v>141</v>
      </c>
      <c r="B23">
        <v>2775.06</v>
      </c>
    </row>
    <row r="24" spans="1:2">
      <c r="A24" s="20" t="s">
        <v>159</v>
      </c>
      <c r="B24">
        <v>49</v>
      </c>
    </row>
    <row r="25" spans="1:2">
      <c r="A25" s="21" t="s">
        <v>133</v>
      </c>
      <c r="B25">
        <v>49</v>
      </c>
    </row>
    <row r="26" spans="1:2">
      <c r="A26" s="20" t="s">
        <v>154</v>
      </c>
      <c r="B26">
        <v>18426.190000000002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3"/>
  <sheetViews>
    <sheetView tabSelected="1" zoomScale="99" zoomScaleNormal="100" workbookViewId="0">
      <pane ySplit="1" topLeftCell="A146" activePane="bottomLeft" state="frozen"/>
      <selection pane="bottomLeft" activeCell="AD20" sqref="AD20"/>
    </sheetView>
  </sheetViews>
  <sheetFormatPr defaultColWidth="8.6640625" defaultRowHeight="14.4"/>
  <cols>
    <col min="1" max="1" width="13" customWidth="1"/>
    <col min="2" max="2" width="19" customWidth="1"/>
    <col min="3" max="3" width="12" customWidth="1"/>
    <col min="4" max="4" width="10" customWidth="1"/>
    <col min="5" max="5" width="8" customWidth="1"/>
    <col min="6" max="6" width="10" customWidth="1"/>
    <col min="7" max="7" width="28" customWidth="1"/>
    <col min="8" max="8" width="8" customWidth="1"/>
    <col min="9" max="9" width="13" customWidth="1"/>
    <col min="10" max="10" width="18" customWidth="1"/>
    <col min="11" max="11" width="12" customWidth="1"/>
    <col min="12" max="12" width="16" customWidth="1"/>
    <col min="13" max="14" width="10" customWidth="1"/>
    <col min="15" max="15" width="16" customWidth="1"/>
    <col min="16" max="16" width="17.6640625" customWidth="1"/>
    <col min="18" max="18" width="17.6640625" customWidth="1"/>
    <col min="22" max="22" width="8.77734375" bestFit="1" customWidth="1"/>
    <col min="23" max="24" width="9.109375" bestFit="1" customWidth="1"/>
    <col min="25" max="28" width="8.77734375" bestFit="1" customWidth="1"/>
  </cols>
  <sheetData>
    <row r="1" spans="1:28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18" t="s">
        <v>156</v>
      </c>
    </row>
    <row r="2" spans="1:28">
      <c r="A2" s="3">
        <v>229358484</v>
      </c>
      <c r="B2" s="4">
        <v>46032.985335648198</v>
      </c>
      <c r="C2" s="5">
        <f t="shared" ref="C2:C65" si="0">INT(B2)</f>
        <v>46032</v>
      </c>
      <c r="D2" s="3" t="str">
        <f t="shared" ref="D2:D65" si="1">TEXT(B2,"yyyy-mm")</f>
        <v>2026-01</v>
      </c>
      <c r="E2" s="3">
        <f t="shared" ref="E2:E65" si="2">HOUR(B2)</f>
        <v>23</v>
      </c>
      <c r="F2" s="3" t="str">
        <f t="shared" ref="F2:F65" si="3">CHOOSE(WEEKDAY(B2,2),"الإثنين","الثلاثاء","الأربعاء","الخميس","الجمعة","السبت","الأحد")</f>
        <v>السبت</v>
      </c>
      <c r="G2" s="3" t="s">
        <v>22</v>
      </c>
      <c r="H2" s="3">
        <v>1</v>
      </c>
      <c r="I2" s="3">
        <v>29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19" t="s">
        <v>157</v>
      </c>
    </row>
    <row r="3" spans="1:28">
      <c r="A3" s="3">
        <v>230892347</v>
      </c>
      <c r="B3" s="4">
        <v>46042.616631944496</v>
      </c>
      <c r="C3" s="5">
        <f t="shared" si="0"/>
        <v>46042</v>
      </c>
      <c r="D3" s="3" t="str">
        <f t="shared" si="1"/>
        <v>2026-01</v>
      </c>
      <c r="E3" s="3">
        <f t="shared" si="2"/>
        <v>14</v>
      </c>
      <c r="F3" s="3" t="str">
        <f t="shared" si="3"/>
        <v>الثلاثاء</v>
      </c>
      <c r="G3" s="3" t="s">
        <v>28</v>
      </c>
      <c r="H3" s="3">
        <v>1</v>
      </c>
      <c r="I3" s="3">
        <v>49</v>
      </c>
      <c r="J3" s="3" t="s">
        <v>29</v>
      </c>
      <c r="K3" s="3" t="s">
        <v>24</v>
      </c>
      <c r="L3" s="3" t="s">
        <v>30</v>
      </c>
      <c r="M3" s="3" t="s">
        <v>26</v>
      </c>
      <c r="N3" s="3" t="s">
        <v>27</v>
      </c>
      <c r="O3" s="19" t="s">
        <v>157</v>
      </c>
    </row>
    <row r="4" spans="1:28">
      <c r="A4" s="3">
        <v>230989076</v>
      </c>
      <c r="B4" s="4">
        <v>46043.050682870402</v>
      </c>
      <c r="C4" s="5">
        <f t="shared" si="0"/>
        <v>46043</v>
      </c>
      <c r="D4" s="3" t="str">
        <f t="shared" si="1"/>
        <v>2026-01</v>
      </c>
      <c r="E4" s="3">
        <f t="shared" si="2"/>
        <v>1</v>
      </c>
      <c r="F4" s="3" t="str">
        <f t="shared" si="3"/>
        <v>الأربعاء</v>
      </c>
      <c r="G4" s="3" t="s">
        <v>28</v>
      </c>
      <c r="H4" s="3">
        <v>1</v>
      </c>
      <c r="I4" s="3">
        <v>49</v>
      </c>
      <c r="J4" s="3" t="s">
        <v>23</v>
      </c>
      <c r="K4" s="3" t="s">
        <v>24</v>
      </c>
      <c r="L4" s="3" t="s">
        <v>30</v>
      </c>
      <c r="M4" s="3" t="s">
        <v>26</v>
      </c>
      <c r="N4" s="3" t="s">
        <v>27</v>
      </c>
      <c r="O4" s="19" t="s">
        <v>158</v>
      </c>
    </row>
    <row r="5" spans="1:28">
      <c r="A5" s="3">
        <v>231050335</v>
      </c>
      <c r="B5" s="4">
        <v>46043.604016203702</v>
      </c>
      <c r="C5" s="5">
        <f t="shared" si="0"/>
        <v>46043</v>
      </c>
      <c r="D5" s="3" t="str">
        <f t="shared" si="1"/>
        <v>2026-01</v>
      </c>
      <c r="E5" s="3">
        <f t="shared" si="2"/>
        <v>14</v>
      </c>
      <c r="F5" s="3" t="str">
        <f t="shared" si="3"/>
        <v>الأربعاء</v>
      </c>
      <c r="G5" s="3" t="s">
        <v>28</v>
      </c>
      <c r="H5" s="3">
        <v>1</v>
      </c>
      <c r="I5" s="3">
        <v>49</v>
      </c>
      <c r="J5" s="3" t="s">
        <v>23</v>
      </c>
      <c r="K5" s="3" t="s">
        <v>24</v>
      </c>
      <c r="L5" s="3" t="s">
        <v>31</v>
      </c>
      <c r="M5" s="3" t="s">
        <v>26</v>
      </c>
      <c r="N5" s="3" t="s">
        <v>27</v>
      </c>
      <c r="O5" s="19" t="s">
        <v>157</v>
      </c>
    </row>
    <row r="6" spans="1:28">
      <c r="A6" s="3">
        <v>231088645</v>
      </c>
      <c r="B6" s="4">
        <v>46043.804849537002</v>
      </c>
      <c r="C6" s="5">
        <f t="shared" si="0"/>
        <v>46043</v>
      </c>
      <c r="D6" s="3" t="str">
        <f t="shared" si="1"/>
        <v>2026-01</v>
      </c>
      <c r="E6" s="3">
        <f t="shared" si="2"/>
        <v>19</v>
      </c>
      <c r="F6" s="3" t="str">
        <f t="shared" si="3"/>
        <v>الأربعاء</v>
      </c>
      <c r="G6" s="3" t="s">
        <v>28</v>
      </c>
      <c r="H6" s="3">
        <v>1</v>
      </c>
      <c r="I6" s="3">
        <v>49</v>
      </c>
      <c r="J6" s="3" t="s">
        <v>23</v>
      </c>
      <c r="K6" s="3" t="s">
        <v>24</v>
      </c>
      <c r="L6" s="3" t="s">
        <v>30</v>
      </c>
      <c r="M6" s="3" t="s">
        <v>26</v>
      </c>
      <c r="N6" s="3" t="s">
        <v>27</v>
      </c>
      <c r="O6" s="19" t="s">
        <v>157</v>
      </c>
    </row>
    <row r="7" spans="1:28">
      <c r="A7" s="3">
        <v>231158172</v>
      </c>
      <c r="B7" s="4">
        <v>46044.233101851903</v>
      </c>
      <c r="C7" s="5">
        <f t="shared" si="0"/>
        <v>46044</v>
      </c>
      <c r="D7" s="3" t="str">
        <f t="shared" si="1"/>
        <v>2026-01</v>
      </c>
      <c r="E7" s="3">
        <f t="shared" si="2"/>
        <v>5</v>
      </c>
      <c r="F7" s="3" t="str">
        <f t="shared" si="3"/>
        <v>الخميس</v>
      </c>
      <c r="G7" s="3" t="s">
        <v>28</v>
      </c>
      <c r="H7" s="3">
        <v>1</v>
      </c>
      <c r="I7" s="3">
        <v>49</v>
      </c>
      <c r="J7" s="3" t="s">
        <v>23</v>
      </c>
      <c r="K7" s="3" t="s">
        <v>24</v>
      </c>
      <c r="L7" s="3" t="s">
        <v>32</v>
      </c>
      <c r="M7" s="3" t="s">
        <v>26</v>
      </c>
      <c r="N7" s="3" t="s">
        <v>27</v>
      </c>
      <c r="O7" s="19" t="s">
        <v>157</v>
      </c>
    </row>
    <row r="8" spans="1:28">
      <c r="A8" s="3">
        <v>231158951</v>
      </c>
      <c r="B8" s="4">
        <v>46044.245590277802</v>
      </c>
      <c r="C8" s="5">
        <f t="shared" si="0"/>
        <v>46044</v>
      </c>
      <c r="D8" s="3" t="str">
        <f t="shared" si="1"/>
        <v>2026-01</v>
      </c>
      <c r="E8" s="3">
        <f t="shared" si="2"/>
        <v>5</v>
      </c>
      <c r="F8" s="3" t="str">
        <f t="shared" si="3"/>
        <v>الخميس</v>
      </c>
      <c r="G8" s="3" t="s">
        <v>28</v>
      </c>
      <c r="H8" s="3">
        <v>1</v>
      </c>
      <c r="I8" s="3">
        <v>49</v>
      </c>
      <c r="J8" s="3" t="s">
        <v>23</v>
      </c>
      <c r="K8" s="3" t="s">
        <v>24</v>
      </c>
      <c r="L8" s="3" t="s">
        <v>33</v>
      </c>
      <c r="M8" s="3" t="s">
        <v>26</v>
      </c>
      <c r="N8" s="3" t="s">
        <v>27</v>
      </c>
      <c r="O8" s="19" t="s">
        <v>157</v>
      </c>
    </row>
    <row r="9" spans="1:28">
      <c r="A9" s="3">
        <v>231159428</v>
      </c>
      <c r="B9" s="4">
        <v>46044.253541666701</v>
      </c>
      <c r="C9" s="5">
        <f t="shared" si="0"/>
        <v>46044</v>
      </c>
      <c r="D9" s="3" t="str">
        <f t="shared" si="1"/>
        <v>2026-01</v>
      </c>
      <c r="E9" s="3">
        <f t="shared" si="2"/>
        <v>6</v>
      </c>
      <c r="F9" s="3" t="str">
        <f t="shared" si="3"/>
        <v>الخميس</v>
      </c>
      <c r="G9" s="3" t="s">
        <v>28</v>
      </c>
      <c r="H9" s="3">
        <v>1</v>
      </c>
      <c r="I9" s="3">
        <v>49</v>
      </c>
      <c r="J9" s="3" t="s">
        <v>29</v>
      </c>
      <c r="K9" s="3" t="s">
        <v>24</v>
      </c>
      <c r="L9" s="3" t="s">
        <v>30</v>
      </c>
      <c r="M9" s="3" t="s">
        <v>26</v>
      </c>
      <c r="N9" s="3" t="s">
        <v>27</v>
      </c>
      <c r="O9" s="19" t="s">
        <v>157</v>
      </c>
    </row>
    <row r="10" spans="1:28">
      <c r="A10" s="3">
        <v>231162387</v>
      </c>
      <c r="B10" s="4">
        <v>46044.292847222197</v>
      </c>
      <c r="C10" s="5">
        <f t="shared" si="0"/>
        <v>46044</v>
      </c>
      <c r="D10" s="3" t="str">
        <f t="shared" si="1"/>
        <v>2026-01</v>
      </c>
      <c r="E10" s="3">
        <f t="shared" si="2"/>
        <v>7</v>
      </c>
      <c r="F10" s="3" t="str">
        <f t="shared" si="3"/>
        <v>الخميس</v>
      </c>
      <c r="G10" s="3" t="s">
        <v>28</v>
      </c>
      <c r="H10" s="3">
        <v>2</v>
      </c>
      <c r="I10" s="3">
        <v>98</v>
      </c>
      <c r="J10" s="3" t="s">
        <v>23</v>
      </c>
      <c r="K10" s="3" t="s">
        <v>24</v>
      </c>
      <c r="L10" s="3" t="s">
        <v>30</v>
      </c>
      <c r="M10" s="3" t="s">
        <v>26</v>
      </c>
      <c r="N10" s="3" t="s">
        <v>27</v>
      </c>
      <c r="O10" s="19" t="s">
        <v>157</v>
      </c>
    </row>
    <row r="11" spans="1:28">
      <c r="A11" s="3">
        <v>231171408</v>
      </c>
      <c r="B11" s="4">
        <v>46044.3890509259</v>
      </c>
      <c r="C11" s="5">
        <f t="shared" si="0"/>
        <v>46044</v>
      </c>
      <c r="D11" s="3" t="str">
        <f t="shared" si="1"/>
        <v>2026-01</v>
      </c>
      <c r="E11" s="3">
        <f t="shared" si="2"/>
        <v>9</v>
      </c>
      <c r="F11" s="3" t="str">
        <f t="shared" si="3"/>
        <v>الخميس</v>
      </c>
      <c r="G11" s="3" t="s">
        <v>28</v>
      </c>
      <c r="H11" s="3">
        <v>1</v>
      </c>
      <c r="I11" s="3">
        <v>49</v>
      </c>
      <c r="J11" s="3" t="s">
        <v>34</v>
      </c>
      <c r="K11" s="3" t="s">
        <v>24</v>
      </c>
      <c r="L11" s="3" t="s">
        <v>30</v>
      </c>
      <c r="M11" s="3" t="s">
        <v>26</v>
      </c>
      <c r="N11" s="3" t="s">
        <v>27</v>
      </c>
      <c r="O11" s="19" t="s">
        <v>157</v>
      </c>
    </row>
    <row r="12" spans="1:28">
      <c r="A12" s="3">
        <v>231179470</v>
      </c>
      <c r="B12" s="4">
        <v>46044.463333333297</v>
      </c>
      <c r="C12" s="5">
        <f t="shared" si="0"/>
        <v>46044</v>
      </c>
      <c r="D12" s="3" t="str">
        <f t="shared" si="1"/>
        <v>2026-01</v>
      </c>
      <c r="E12" s="3">
        <f t="shared" si="2"/>
        <v>11</v>
      </c>
      <c r="F12" s="3" t="str">
        <f t="shared" si="3"/>
        <v>الخميس</v>
      </c>
      <c r="G12" s="3" t="s">
        <v>28</v>
      </c>
      <c r="H12" s="3">
        <v>1</v>
      </c>
      <c r="I12" s="3">
        <v>49</v>
      </c>
      <c r="J12" s="3" t="s">
        <v>23</v>
      </c>
      <c r="K12" s="3" t="s">
        <v>24</v>
      </c>
      <c r="L12" s="3" t="s">
        <v>30</v>
      </c>
      <c r="M12" s="3" t="s">
        <v>26</v>
      </c>
      <c r="N12" s="3" t="s">
        <v>27</v>
      </c>
      <c r="O12" s="19" t="s">
        <v>157</v>
      </c>
    </row>
    <row r="13" spans="1:28">
      <c r="A13" s="3">
        <v>231186886</v>
      </c>
      <c r="B13" s="4">
        <v>46044.524826388901</v>
      </c>
      <c r="C13" s="5">
        <f t="shared" si="0"/>
        <v>46044</v>
      </c>
      <c r="D13" s="3" t="str">
        <f t="shared" si="1"/>
        <v>2026-01</v>
      </c>
      <c r="E13" s="3">
        <f t="shared" si="2"/>
        <v>12</v>
      </c>
      <c r="F13" s="3" t="str">
        <f t="shared" si="3"/>
        <v>الخميس</v>
      </c>
      <c r="G13" s="3" t="s">
        <v>28</v>
      </c>
      <c r="H13" s="3">
        <v>1</v>
      </c>
      <c r="I13" s="3">
        <v>49</v>
      </c>
      <c r="J13" s="3" t="s">
        <v>23</v>
      </c>
      <c r="K13" s="3" t="s">
        <v>24</v>
      </c>
      <c r="L13" s="3" t="s">
        <v>35</v>
      </c>
      <c r="M13" s="3" t="s">
        <v>26</v>
      </c>
      <c r="N13" s="3" t="s">
        <v>27</v>
      </c>
      <c r="O13" s="19" t="s">
        <v>157</v>
      </c>
    </row>
    <row r="14" spans="1:28">
      <c r="A14" s="3">
        <v>231187043</v>
      </c>
      <c r="B14" s="4">
        <v>46044.5258217593</v>
      </c>
      <c r="C14" s="5">
        <f t="shared" si="0"/>
        <v>46044</v>
      </c>
      <c r="D14" s="3" t="str">
        <f t="shared" si="1"/>
        <v>2026-01</v>
      </c>
      <c r="E14" s="3">
        <f t="shared" si="2"/>
        <v>12</v>
      </c>
      <c r="F14" s="3" t="str">
        <f t="shared" si="3"/>
        <v>الخميس</v>
      </c>
      <c r="G14" s="3" t="s">
        <v>28</v>
      </c>
      <c r="H14" s="3">
        <v>1</v>
      </c>
      <c r="I14" s="3">
        <v>49</v>
      </c>
      <c r="J14" s="3" t="s">
        <v>23</v>
      </c>
      <c r="K14" s="3" t="s">
        <v>24</v>
      </c>
      <c r="L14" s="3" t="s">
        <v>36</v>
      </c>
      <c r="M14" s="3" t="s">
        <v>26</v>
      </c>
      <c r="N14" s="3" t="s">
        <v>27</v>
      </c>
      <c r="O14" s="19" t="s">
        <v>158</v>
      </c>
    </row>
    <row r="15" spans="1:28">
      <c r="A15" s="3">
        <v>231256597</v>
      </c>
      <c r="B15" s="4">
        <v>46044.9047685185</v>
      </c>
      <c r="C15" s="5">
        <f t="shared" si="0"/>
        <v>46044</v>
      </c>
      <c r="D15" s="3" t="str">
        <f t="shared" si="1"/>
        <v>2026-01</v>
      </c>
      <c r="E15" s="3">
        <f t="shared" si="2"/>
        <v>21</v>
      </c>
      <c r="F15" s="3" t="str">
        <f t="shared" si="3"/>
        <v>الخميس</v>
      </c>
      <c r="G15" s="3" t="s">
        <v>28</v>
      </c>
      <c r="H15" s="3">
        <v>1</v>
      </c>
      <c r="I15" s="3">
        <v>49</v>
      </c>
      <c r="J15" s="3" t="s">
        <v>29</v>
      </c>
      <c r="K15" s="3" t="s">
        <v>24</v>
      </c>
      <c r="L15" s="3" t="s">
        <v>30</v>
      </c>
      <c r="M15" s="3" t="s">
        <v>26</v>
      </c>
      <c r="N15" s="3" t="s">
        <v>27</v>
      </c>
      <c r="O15" s="19" t="s">
        <v>157</v>
      </c>
    </row>
    <row r="16" spans="1:28">
      <c r="A16" s="3">
        <v>231273899</v>
      </c>
      <c r="B16" s="4">
        <v>46044.991099537001</v>
      </c>
      <c r="C16" s="5">
        <f t="shared" si="0"/>
        <v>46044</v>
      </c>
      <c r="D16" s="3" t="str">
        <f t="shared" si="1"/>
        <v>2026-01</v>
      </c>
      <c r="E16" s="3">
        <f t="shared" si="2"/>
        <v>23</v>
      </c>
      <c r="F16" s="3" t="str">
        <f t="shared" si="3"/>
        <v>الخميس</v>
      </c>
      <c r="G16" s="3" t="s">
        <v>28</v>
      </c>
      <c r="H16" s="3">
        <v>1</v>
      </c>
      <c r="I16" s="3">
        <v>49</v>
      </c>
      <c r="J16" s="3" t="s">
        <v>23</v>
      </c>
      <c r="K16" s="3" t="s">
        <v>24</v>
      </c>
      <c r="L16" s="3" t="s">
        <v>35</v>
      </c>
      <c r="M16" s="3" t="s">
        <v>26</v>
      </c>
      <c r="N16" s="3" t="s">
        <v>27</v>
      </c>
      <c r="O16" s="19" t="s">
        <v>157</v>
      </c>
      <c r="U16" s="3"/>
      <c r="V16" s="3"/>
      <c r="W16" s="6"/>
      <c r="X16" s="6"/>
      <c r="Y16" s="6"/>
      <c r="Z16" s="6"/>
      <c r="AA16" s="11"/>
      <c r="AB16" s="6"/>
    </row>
    <row r="17" spans="1:28">
      <c r="A17" s="3">
        <v>231275247</v>
      </c>
      <c r="B17" s="4">
        <v>46044.998576388898</v>
      </c>
      <c r="C17" s="5">
        <f t="shared" si="0"/>
        <v>46044</v>
      </c>
      <c r="D17" s="3" t="str">
        <f t="shared" si="1"/>
        <v>2026-01</v>
      </c>
      <c r="E17" s="3">
        <f t="shared" si="2"/>
        <v>23</v>
      </c>
      <c r="F17" s="3" t="str">
        <f t="shared" si="3"/>
        <v>الخميس</v>
      </c>
      <c r="G17" s="3" t="s">
        <v>28</v>
      </c>
      <c r="H17" s="3">
        <v>1</v>
      </c>
      <c r="I17" s="3">
        <v>49</v>
      </c>
      <c r="J17" s="3" t="s">
        <v>23</v>
      </c>
      <c r="K17" s="3" t="s">
        <v>24</v>
      </c>
      <c r="L17" s="3" t="s">
        <v>37</v>
      </c>
      <c r="M17" s="3" t="s">
        <v>26</v>
      </c>
      <c r="N17" s="3" t="s">
        <v>27</v>
      </c>
      <c r="O17" s="19" t="s">
        <v>157</v>
      </c>
      <c r="U17" s="3"/>
      <c r="V17" s="3"/>
      <c r="W17" s="6"/>
      <c r="X17" s="6"/>
      <c r="Y17" s="6"/>
      <c r="Z17" s="6"/>
      <c r="AA17" s="11"/>
      <c r="AB17" s="6"/>
    </row>
    <row r="18" spans="1:28">
      <c r="A18" s="3">
        <v>231296708</v>
      </c>
      <c r="B18" s="4">
        <v>46045.139780092599</v>
      </c>
      <c r="C18" s="5">
        <f t="shared" si="0"/>
        <v>46045</v>
      </c>
      <c r="D18" s="3" t="str">
        <f t="shared" si="1"/>
        <v>2026-01</v>
      </c>
      <c r="E18" s="3">
        <f t="shared" si="2"/>
        <v>3</v>
      </c>
      <c r="F18" s="3" t="str">
        <f t="shared" si="3"/>
        <v>الجمعة</v>
      </c>
      <c r="G18" s="3" t="s">
        <v>28</v>
      </c>
      <c r="H18" s="3">
        <v>1</v>
      </c>
      <c r="I18" s="3">
        <v>49</v>
      </c>
      <c r="J18" s="3" t="s">
        <v>29</v>
      </c>
      <c r="K18" s="3" t="s">
        <v>24</v>
      </c>
      <c r="L18" s="3" t="s">
        <v>38</v>
      </c>
      <c r="M18" s="3" t="s">
        <v>26</v>
      </c>
      <c r="N18" s="3" t="s">
        <v>27</v>
      </c>
      <c r="O18" s="19" t="s">
        <v>157</v>
      </c>
      <c r="U18" s="3"/>
      <c r="V18" s="3"/>
      <c r="W18" s="6"/>
      <c r="X18" s="6"/>
      <c r="Y18" s="6"/>
      <c r="Z18" s="6"/>
      <c r="AA18" s="11"/>
      <c r="AB18" s="6"/>
    </row>
    <row r="19" spans="1:28">
      <c r="A19" s="3">
        <v>231324737</v>
      </c>
      <c r="B19" s="4">
        <v>46045.504733796297</v>
      </c>
      <c r="C19" s="5">
        <f t="shared" si="0"/>
        <v>46045</v>
      </c>
      <c r="D19" s="3" t="str">
        <f t="shared" si="1"/>
        <v>2026-01</v>
      </c>
      <c r="E19" s="3">
        <f t="shared" si="2"/>
        <v>12</v>
      </c>
      <c r="F19" s="3" t="str">
        <f t="shared" si="3"/>
        <v>الجمعة</v>
      </c>
      <c r="G19" s="3" t="s">
        <v>28</v>
      </c>
      <c r="H19" s="3">
        <v>1</v>
      </c>
      <c r="I19" s="3">
        <v>49</v>
      </c>
      <c r="J19" s="3" t="s">
        <v>29</v>
      </c>
      <c r="K19" s="3" t="s">
        <v>24</v>
      </c>
      <c r="L19" s="3" t="s">
        <v>30</v>
      </c>
      <c r="M19" s="3" t="s">
        <v>26</v>
      </c>
      <c r="N19" s="3" t="s">
        <v>27</v>
      </c>
      <c r="O19" s="19" t="s">
        <v>158</v>
      </c>
      <c r="U19" s="8"/>
      <c r="V19" s="9"/>
      <c r="W19" s="9"/>
      <c r="X19" s="9"/>
      <c r="Y19" s="9"/>
      <c r="Z19" s="9"/>
      <c r="AA19" s="9"/>
      <c r="AB19" s="9"/>
    </row>
    <row r="20" spans="1:28">
      <c r="A20" s="3">
        <v>231367535</v>
      </c>
      <c r="B20" s="4">
        <v>46045.726238425901</v>
      </c>
      <c r="C20" s="5">
        <f t="shared" si="0"/>
        <v>46045</v>
      </c>
      <c r="D20" s="3" t="str">
        <f t="shared" si="1"/>
        <v>2026-01</v>
      </c>
      <c r="E20" s="3">
        <f t="shared" si="2"/>
        <v>17</v>
      </c>
      <c r="F20" s="3" t="str">
        <f t="shared" si="3"/>
        <v>الجمعة</v>
      </c>
      <c r="G20" s="3" t="s">
        <v>28</v>
      </c>
      <c r="H20" s="3">
        <v>1</v>
      </c>
      <c r="I20" s="3">
        <v>49</v>
      </c>
      <c r="J20" s="3" t="s">
        <v>23</v>
      </c>
      <c r="K20" s="3" t="s">
        <v>24</v>
      </c>
      <c r="L20" s="3" t="s">
        <v>30</v>
      </c>
      <c r="M20" s="3" t="s">
        <v>26</v>
      </c>
      <c r="N20" s="3" t="s">
        <v>27</v>
      </c>
      <c r="O20" s="19" t="s">
        <v>157</v>
      </c>
    </row>
    <row r="21" spans="1:28">
      <c r="A21" s="3">
        <v>231386627</v>
      </c>
      <c r="B21" s="4">
        <v>46045.819421296299</v>
      </c>
      <c r="C21" s="5">
        <f t="shared" si="0"/>
        <v>46045</v>
      </c>
      <c r="D21" s="3" t="str">
        <f t="shared" si="1"/>
        <v>2026-01</v>
      </c>
      <c r="E21" s="3">
        <f t="shared" si="2"/>
        <v>19</v>
      </c>
      <c r="F21" s="3" t="str">
        <f t="shared" si="3"/>
        <v>الجمعة</v>
      </c>
      <c r="G21" s="3" t="s">
        <v>28</v>
      </c>
      <c r="H21" s="3">
        <v>1</v>
      </c>
      <c r="I21" s="3">
        <v>49</v>
      </c>
      <c r="J21" s="3" t="s">
        <v>29</v>
      </c>
      <c r="K21" s="3" t="s">
        <v>24</v>
      </c>
      <c r="L21" s="3" t="s">
        <v>152</v>
      </c>
      <c r="M21" s="3" t="s">
        <v>39</v>
      </c>
      <c r="N21" s="3" t="s">
        <v>27</v>
      </c>
      <c r="O21" s="19" t="s">
        <v>159</v>
      </c>
    </row>
    <row r="22" spans="1:28">
      <c r="A22" s="3">
        <v>231563140</v>
      </c>
      <c r="B22" s="4">
        <v>46046.945636574099</v>
      </c>
      <c r="C22" s="5">
        <f t="shared" si="0"/>
        <v>46046</v>
      </c>
      <c r="D22" s="3" t="str">
        <f t="shared" si="1"/>
        <v>2026-01</v>
      </c>
      <c r="E22" s="3">
        <f t="shared" si="2"/>
        <v>22</v>
      </c>
      <c r="F22" s="3" t="str">
        <f t="shared" si="3"/>
        <v>السبت</v>
      </c>
      <c r="G22" s="3" t="s">
        <v>28</v>
      </c>
      <c r="H22" s="3">
        <v>1</v>
      </c>
      <c r="I22" s="3">
        <v>49</v>
      </c>
      <c r="J22" s="3" t="s">
        <v>23</v>
      </c>
      <c r="K22" s="3" t="s">
        <v>24</v>
      </c>
      <c r="L22" s="3" t="s">
        <v>40</v>
      </c>
      <c r="M22" s="3" t="s">
        <v>26</v>
      </c>
      <c r="N22" s="3" t="s">
        <v>27</v>
      </c>
      <c r="O22" s="19" t="s">
        <v>157</v>
      </c>
    </row>
    <row r="23" spans="1:28">
      <c r="A23" s="3">
        <v>232628105</v>
      </c>
      <c r="B23" s="4">
        <v>46051.2044328704</v>
      </c>
      <c r="C23" s="5">
        <f t="shared" si="0"/>
        <v>46051</v>
      </c>
      <c r="D23" s="3" t="str">
        <f t="shared" si="1"/>
        <v>2026-01</v>
      </c>
      <c r="E23" s="3">
        <f t="shared" si="2"/>
        <v>4</v>
      </c>
      <c r="F23" s="3" t="str">
        <f t="shared" si="3"/>
        <v>الخميس</v>
      </c>
      <c r="G23" s="3" t="s">
        <v>28</v>
      </c>
      <c r="H23" s="3">
        <v>1</v>
      </c>
      <c r="I23" s="3">
        <v>49</v>
      </c>
      <c r="J23" s="3" t="s">
        <v>23</v>
      </c>
      <c r="K23" s="3" t="s">
        <v>24</v>
      </c>
      <c r="L23" s="3" t="s">
        <v>25</v>
      </c>
      <c r="M23" s="3" t="s">
        <v>26</v>
      </c>
      <c r="N23" s="3" t="s">
        <v>27</v>
      </c>
      <c r="O23" s="19" t="s">
        <v>157</v>
      </c>
    </row>
    <row r="24" spans="1:28">
      <c r="A24" s="3">
        <v>232860928</v>
      </c>
      <c r="B24" s="4">
        <v>46052.113506944399</v>
      </c>
      <c r="C24" s="5">
        <f t="shared" si="0"/>
        <v>46052</v>
      </c>
      <c r="D24" s="3" t="str">
        <f t="shared" si="1"/>
        <v>2026-01</v>
      </c>
      <c r="E24" s="3">
        <f t="shared" si="2"/>
        <v>2</v>
      </c>
      <c r="F24" s="3" t="str">
        <f t="shared" si="3"/>
        <v>الجمعة</v>
      </c>
      <c r="G24" s="3" t="s">
        <v>28</v>
      </c>
      <c r="H24" s="3">
        <v>1</v>
      </c>
      <c r="I24" s="3">
        <v>49</v>
      </c>
      <c r="J24" s="3" t="s">
        <v>23</v>
      </c>
      <c r="K24" s="3" t="s">
        <v>24</v>
      </c>
      <c r="L24" s="3" t="s">
        <v>41</v>
      </c>
      <c r="M24" s="3" t="s">
        <v>26</v>
      </c>
      <c r="N24" s="3" t="s">
        <v>27</v>
      </c>
      <c r="O24" s="19" t="s">
        <v>158</v>
      </c>
    </row>
    <row r="25" spans="1:28">
      <c r="A25" s="3">
        <v>233160485</v>
      </c>
      <c r="B25" s="4">
        <v>46053.527858796297</v>
      </c>
      <c r="C25" s="5">
        <f t="shared" si="0"/>
        <v>46053</v>
      </c>
      <c r="D25" s="3" t="str">
        <f t="shared" si="1"/>
        <v>2026-01</v>
      </c>
      <c r="E25" s="3">
        <f t="shared" si="2"/>
        <v>12</v>
      </c>
      <c r="F25" s="3" t="str">
        <f t="shared" si="3"/>
        <v>السبت</v>
      </c>
      <c r="G25" s="3" t="s">
        <v>28</v>
      </c>
      <c r="H25" s="3">
        <v>1</v>
      </c>
      <c r="I25" s="3">
        <v>49</v>
      </c>
      <c r="J25" s="3" t="s">
        <v>23</v>
      </c>
      <c r="K25" s="3" t="s">
        <v>24</v>
      </c>
      <c r="L25" s="3" t="s">
        <v>42</v>
      </c>
      <c r="M25" s="3" t="s">
        <v>26</v>
      </c>
      <c r="N25" s="3" t="s">
        <v>27</v>
      </c>
      <c r="O25" s="19" t="s">
        <v>157</v>
      </c>
    </row>
    <row r="26" spans="1:28">
      <c r="A26" s="3">
        <v>233934906</v>
      </c>
      <c r="B26" s="4">
        <v>46056.014016203699</v>
      </c>
      <c r="C26" s="5">
        <f t="shared" si="0"/>
        <v>46056</v>
      </c>
      <c r="D26" s="3" t="str">
        <f t="shared" si="1"/>
        <v>2026-02</v>
      </c>
      <c r="E26" s="3">
        <f t="shared" si="2"/>
        <v>0</v>
      </c>
      <c r="F26" s="3" t="str">
        <f t="shared" si="3"/>
        <v>الثلاثاء</v>
      </c>
      <c r="G26" s="3" t="s">
        <v>28</v>
      </c>
      <c r="H26" s="3">
        <v>1</v>
      </c>
      <c r="I26" s="3">
        <v>49</v>
      </c>
      <c r="J26" s="3" t="s">
        <v>23</v>
      </c>
      <c r="K26" s="3" t="s">
        <v>24</v>
      </c>
      <c r="L26" s="3" t="s">
        <v>43</v>
      </c>
      <c r="M26" s="3" t="s">
        <v>26</v>
      </c>
      <c r="N26" s="3" t="s">
        <v>27</v>
      </c>
      <c r="O26" s="19" t="s">
        <v>157</v>
      </c>
    </row>
    <row r="27" spans="1:28">
      <c r="A27" s="3">
        <v>234966621</v>
      </c>
      <c r="B27" s="4">
        <v>46060.406354166698</v>
      </c>
      <c r="C27" s="5">
        <f t="shared" si="0"/>
        <v>46060</v>
      </c>
      <c r="D27" s="3" t="str">
        <f t="shared" si="1"/>
        <v>2026-02</v>
      </c>
      <c r="E27" s="3">
        <f t="shared" si="2"/>
        <v>9</v>
      </c>
      <c r="F27" s="3" t="str">
        <f t="shared" si="3"/>
        <v>السبت</v>
      </c>
      <c r="G27" s="3" t="s">
        <v>28</v>
      </c>
      <c r="H27" s="3">
        <v>1</v>
      </c>
      <c r="I27" s="3">
        <v>49</v>
      </c>
      <c r="J27" s="3" t="s">
        <v>23</v>
      </c>
      <c r="K27" s="3" t="s">
        <v>24</v>
      </c>
      <c r="L27" s="3" t="s">
        <v>30</v>
      </c>
      <c r="M27" s="3" t="s">
        <v>26</v>
      </c>
      <c r="N27" s="3" t="s">
        <v>27</v>
      </c>
      <c r="O27" s="19" t="s">
        <v>158</v>
      </c>
    </row>
    <row r="28" spans="1:28">
      <c r="A28" s="3">
        <v>235005912</v>
      </c>
      <c r="B28" s="4">
        <v>46060.596157407403</v>
      </c>
      <c r="C28" s="5">
        <f t="shared" si="0"/>
        <v>46060</v>
      </c>
      <c r="D28" s="3" t="str">
        <f t="shared" si="1"/>
        <v>2026-02</v>
      </c>
      <c r="E28" s="3">
        <f t="shared" si="2"/>
        <v>14</v>
      </c>
      <c r="F28" s="3" t="str">
        <f t="shared" si="3"/>
        <v>السبت</v>
      </c>
      <c r="G28" s="3" t="s">
        <v>28</v>
      </c>
      <c r="H28" s="3">
        <v>1</v>
      </c>
      <c r="I28" s="3">
        <v>49</v>
      </c>
      <c r="J28" s="3" t="s">
        <v>23</v>
      </c>
      <c r="K28" s="3" t="s">
        <v>24</v>
      </c>
      <c r="L28" s="3" t="s">
        <v>44</v>
      </c>
      <c r="M28" s="3" t="s">
        <v>26</v>
      </c>
      <c r="N28" s="3" t="s">
        <v>27</v>
      </c>
      <c r="O28" s="19" t="s">
        <v>157</v>
      </c>
    </row>
    <row r="29" spans="1:28">
      <c r="A29" s="3">
        <v>235043169</v>
      </c>
      <c r="B29" s="4">
        <v>46060.710868055598</v>
      </c>
      <c r="C29" s="5">
        <f t="shared" si="0"/>
        <v>46060</v>
      </c>
      <c r="D29" s="3" t="str">
        <f t="shared" si="1"/>
        <v>2026-02</v>
      </c>
      <c r="E29" s="3">
        <f t="shared" si="2"/>
        <v>17</v>
      </c>
      <c r="F29" s="3" t="str">
        <f t="shared" si="3"/>
        <v>السبت</v>
      </c>
      <c r="G29" s="3" t="s">
        <v>28</v>
      </c>
      <c r="H29" s="3">
        <v>1</v>
      </c>
      <c r="I29" s="3">
        <v>49</v>
      </c>
      <c r="J29" s="3" t="s">
        <v>29</v>
      </c>
      <c r="K29" s="3" t="s">
        <v>24</v>
      </c>
      <c r="L29" s="3" t="s">
        <v>44</v>
      </c>
      <c r="M29" s="3" t="s">
        <v>26</v>
      </c>
      <c r="N29" s="3" t="s">
        <v>27</v>
      </c>
      <c r="O29" s="19" t="s">
        <v>158</v>
      </c>
    </row>
    <row r="30" spans="1:28">
      <c r="A30" s="3">
        <v>235158472</v>
      </c>
      <c r="B30" s="4">
        <v>46061.041956018496</v>
      </c>
      <c r="C30" s="5">
        <f t="shared" si="0"/>
        <v>46061</v>
      </c>
      <c r="D30" s="3" t="str">
        <f t="shared" si="1"/>
        <v>2026-02</v>
      </c>
      <c r="E30" s="3">
        <f t="shared" si="2"/>
        <v>1</v>
      </c>
      <c r="F30" s="3" t="str">
        <f t="shared" si="3"/>
        <v>الأحد</v>
      </c>
      <c r="G30" s="3" t="s">
        <v>28</v>
      </c>
      <c r="H30" s="3">
        <v>1</v>
      </c>
      <c r="I30" s="3">
        <v>49</v>
      </c>
      <c r="J30" s="3" t="s">
        <v>23</v>
      </c>
      <c r="K30" s="3" t="s">
        <v>24</v>
      </c>
      <c r="L30" s="3" t="s">
        <v>30</v>
      </c>
      <c r="M30" s="3" t="s">
        <v>26</v>
      </c>
      <c r="N30" s="3" t="s">
        <v>27</v>
      </c>
      <c r="O30" s="19" t="s">
        <v>158</v>
      </c>
    </row>
    <row r="31" spans="1:28">
      <c r="A31" s="3">
        <v>235257874</v>
      </c>
      <c r="B31" s="4">
        <v>46061.627164351899</v>
      </c>
      <c r="C31" s="5">
        <f t="shared" si="0"/>
        <v>46061</v>
      </c>
      <c r="D31" s="3" t="str">
        <f t="shared" si="1"/>
        <v>2026-02</v>
      </c>
      <c r="E31" s="3">
        <f t="shared" si="2"/>
        <v>15</v>
      </c>
      <c r="F31" s="3" t="str">
        <f t="shared" si="3"/>
        <v>الأحد</v>
      </c>
      <c r="G31" s="3" t="s">
        <v>28</v>
      </c>
      <c r="H31" s="3">
        <v>1</v>
      </c>
      <c r="I31" s="3">
        <v>49</v>
      </c>
      <c r="J31" s="3" t="s">
        <v>29</v>
      </c>
      <c r="K31" s="3" t="s">
        <v>24</v>
      </c>
      <c r="L31" s="3" t="s">
        <v>30</v>
      </c>
      <c r="M31" s="3" t="s">
        <v>39</v>
      </c>
      <c r="N31" s="3" t="s">
        <v>27</v>
      </c>
      <c r="O31" s="19" t="s">
        <v>158</v>
      </c>
    </row>
    <row r="32" spans="1:28">
      <c r="A32" s="3">
        <v>235270603</v>
      </c>
      <c r="B32" s="4">
        <v>46061.6725462963</v>
      </c>
      <c r="C32" s="5">
        <f t="shared" si="0"/>
        <v>46061</v>
      </c>
      <c r="D32" s="3" t="str">
        <f t="shared" si="1"/>
        <v>2026-02</v>
      </c>
      <c r="E32" s="3">
        <f t="shared" si="2"/>
        <v>16</v>
      </c>
      <c r="F32" s="3" t="str">
        <f t="shared" si="3"/>
        <v>الأحد</v>
      </c>
      <c r="G32" s="3" t="s">
        <v>28</v>
      </c>
      <c r="H32" s="3">
        <v>1</v>
      </c>
      <c r="I32" s="3">
        <v>49</v>
      </c>
      <c r="J32" s="3" t="s">
        <v>23</v>
      </c>
      <c r="K32" s="3" t="s">
        <v>24</v>
      </c>
      <c r="L32" s="3" t="s">
        <v>43</v>
      </c>
      <c r="M32" s="3" t="s">
        <v>26</v>
      </c>
      <c r="N32" s="3" t="s">
        <v>27</v>
      </c>
      <c r="O32" s="19" t="s">
        <v>158</v>
      </c>
    </row>
    <row r="33" spans="1:15">
      <c r="A33" s="3">
        <v>235349566</v>
      </c>
      <c r="B33" s="4">
        <v>46061.900833333297</v>
      </c>
      <c r="C33" s="5">
        <f t="shared" si="0"/>
        <v>46061</v>
      </c>
      <c r="D33" s="3" t="str">
        <f t="shared" si="1"/>
        <v>2026-02</v>
      </c>
      <c r="E33" s="3">
        <f t="shared" si="2"/>
        <v>21</v>
      </c>
      <c r="F33" s="3" t="str">
        <f t="shared" si="3"/>
        <v>الأحد</v>
      </c>
      <c r="G33" s="3" t="s">
        <v>28</v>
      </c>
      <c r="H33" s="3">
        <v>1</v>
      </c>
      <c r="I33" s="3">
        <v>49</v>
      </c>
      <c r="J33" s="3" t="s">
        <v>23</v>
      </c>
      <c r="K33" s="3" t="s">
        <v>24</v>
      </c>
      <c r="L33" s="3" t="s">
        <v>31</v>
      </c>
      <c r="M33" s="3" t="s">
        <v>26</v>
      </c>
      <c r="N33" s="3" t="s">
        <v>27</v>
      </c>
      <c r="O33" s="19" t="s">
        <v>158</v>
      </c>
    </row>
    <row r="34" spans="1:15">
      <c r="A34" s="3">
        <v>235957955</v>
      </c>
      <c r="B34" s="4">
        <v>46064.359930555598</v>
      </c>
      <c r="C34" s="5">
        <f t="shared" si="0"/>
        <v>46064</v>
      </c>
      <c r="D34" s="3" t="str">
        <f t="shared" si="1"/>
        <v>2026-02</v>
      </c>
      <c r="E34" s="3">
        <f t="shared" si="2"/>
        <v>8</v>
      </c>
      <c r="F34" s="3" t="str">
        <f t="shared" si="3"/>
        <v>الأربعاء</v>
      </c>
      <c r="G34" s="3" t="s">
        <v>28</v>
      </c>
      <c r="H34" s="3">
        <v>1</v>
      </c>
      <c r="I34" s="3">
        <v>49</v>
      </c>
      <c r="J34" s="3" t="s">
        <v>23</v>
      </c>
      <c r="K34" s="3" t="s">
        <v>24</v>
      </c>
      <c r="L34" s="3" t="s">
        <v>43</v>
      </c>
      <c r="M34" s="3" t="s">
        <v>26</v>
      </c>
      <c r="N34" s="3" t="s">
        <v>27</v>
      </c>
      <c r="O34" s="19" t="s">
        <v>158</v>
      </c>
    </row>
    <row r="35" spans="1:15">
      <c r="A35" s="3">
        <v>235967970</v>
      </c>
      <c r="B35" s="4">
        <v>46064.423344907402</v>
      </c>
      <c r="C35" s="5">
        <f t="shared" si="0"/>
        <v>46064</v>
      </c>
      <c r="D35" s="3" t="str">
        <f t="shared" si="1"/>
        <v>2026-02</v>
      </c>
      <c r="E35" s="3">
        <f t="shared" si="2"/>
        <v>10</v>
      </c>
      <c r="F35" s="3" t="str">
        <f t="shared" si="3"/>
        <v>الأربعاء</v>
      </c>
      <c r="G35" s="3" t="s">
        <v>28</v>
      </c>
      <c r="H35" s="3">
        <v>1</v>
      </c>
      <c r="I35" s="3">
        <v>49</v>
      </c>
      <c r="J35" s="3" t="s">
        <v>23</v>
      </c>
      <c r="K35" s="3" t="s">
        <v>24</v>
      </c>
      <c r="L35" s="3" t="s">
        <v>25</v>
      </c>
      <c r="M35" s="3" t="s">
        <v>26</v>
      </c>
      <c r="N35" s="3" t="s">
        <v>27</v>
      </c>
      <c r="O35" s="19" t="s">
        <v>158</v>
      </c>
    </row>
    <row r="36" spans="1:15">
      <c r="A36" s="3">
        <v>235973074</v>
      </c>
      <c r="B36" s="4">
        <v>46064.452511574098</v>
      </c>
      <c r="C36" s="5">
        <f t="shared" si="0"/>
        <v>46064</v>
      </c>
      <c r="D36" s="3" t="str">
        <f t="shared" si="1"/>
        <v>2026-02</v>
      </c>
      <c r="E36" s="3">
        <f t="shared" si="2"/>
        <v>10</v>
      </c>
      <c r="F36" s="3" t="str">
        <f t="shared" si="3"/>
        <v>الأربعاء</v>
      </c>
      <c r="G36" s="3" t="s">
        <v>28</v>
      </c>
      <c r="H36" s="3">
        <v>1</v>
      </c>
      <c r="I36" s="3">
        <v>49</v>
      </c>
      <c r="J36" s="3" t="s">
        <v>29</v>
      </c>
      <c r="K36" s="3" t="s">
        <v>24</v>
      </c>
      <c r="L36" s="3" t="s">
        <v>43</v>
      </c>
      <c r="M36" s="3" t="s">
        <v>26</v>
      </c>
      <c r="N36" s="3" t="s">
        <v>27</v>
      </c>
      <c r="O36" s="19" t="s">
        <v>158</v>
      </c>
    </row>
    <row r="37" spans="1:15">
      <c r="A37" s="3">
        <v>235998766</v>
      </c>
      <c r="B37" s="4">
        <v>46064.575983796298</v>
      </c>
      <c r="C37" s="5">
        <f t="shared" si="0"/>
        <v>46064</v>
      </c>
      <c r="D37" s="3" t="str">
        <f t="shared" si="1"/>
        <v>2026-02</v>
      </c>
      <c r="E37" s="3">
        <f t="shared" si="2"/>
        <v>13</v>
      </c>
      <c r="F37" s="3" t="str">
        <f t="shared" si="3"/>
        <v>الأربعاء</v>
      </c>
      <c r="G37" s="3" t="s">
        <v>28</v>
      </c>
      <c r="H37" s="3">
        <v>1</v>
      </c>
      <c r="I37" s="3">
        <v>48.97</v>
      </c>
      <c r="J37" s="3" t="s">
        <v>29</v>
      </c>
      <c r="K37" s="3" t="s">
        <v>24</v>
      </c>
      <c r="L37" s="3" t="s">
        <v>45</v>
      </c>
      <c r="M37" s="3" t="s">
        <v>46</v>
      </c>
      <c r="N37" s="3" t="s">
        <v>27</v>
      </c>
      <c r="O37" s="19" t="s">
        <v>158</v>
      </c>
    </row>
    <row r="38" spans="1:15">
      <c r="A38" s="3">
        <v>236015606</v>
      </c>
      <c r="B38" s="4">
        <v>46064.638784722199</v>
      </c>
      <c r="C38" s="5">
        <f t="shared" si="0"/>
        <v>46064</v>
      </c>
      <c r="D38" s="3" t="str">
        <f t="shared" si="1"/>
        <v>2026-02</v>
      </c>
      <c r="E38" s="3">
        <f t="shared" si="2"/>
        <v>15</v>
      </c>
      <c r="F38" s="3" t="str">
        <f t="shared" si="3"/>
        <v>الأربعاء</v>
      </c>
      <c r="G38" s="3" t="s">
        <v>28</v>
      </c>
      <c r="H38" s="3">
        <v>1</v>
      </c>
      <c r="I38" s="3">
        <v>49</v>
      </c>
      <c r="J38" s="3" t="s">
        <v>23</v>
      </c>
      <c r="K38" s="3" t="s">
        <v>24</v>
      </c>
      <c r="L38" s="3" t="s">
        <v>47</v>
      </c>
      <c r="M38" s="3" t="s">
        <v>26</v>
      </c>
      <c r="N38" s="3" t="s">
        <v>27</v>
      </c>
      <c r="O38" s="19" t="s">
        <v>158</v>
      </c>
    </row>
    <row r="39" spans="1:15">
      <c r="A39" s="3">
        <v>236084542</v>
      </c>
      <c r="B39" s="4">
        <v>46064.844039351898</v>
      </c>
      <c r="C39" s="5">
        <f t="shared" si="0"/>
        <v>46064</v>
      </c>
      <c r="D39" s="3" t="str">
        <f t="shared" si="1"/>
        <v>2026-02</v>
      </c>
      <c r="E39" s="3">
        <f t="shared" si="2"/>
        <v>20</v>
      </c>
      <c r="F39" s="3" t="str">
        <f t="shared" si="3"/>
        <v>الأربعاء</v>
      </c>
      <c r="G39" s="3" t="s">
        <v>28</v>
      </c>
      <c r="H39" s="3">
        <v>1</v>
      </c>
      <c r="I39" s="3">
        <v>49</v>
      </c>
      <c r="J39" s="3" t="s">
        <v>23</v>
      </c>
      <c r="K39" s="3" t="s">
        <v>24</v>
      </c>
      <c r="L39" s="3" t="s">
        <v>43</v>
      </c>
      <c r="M39" s="3" t="s">
        <v>26</v>
      </c>
      <c r="N39" s="3" t="s">
        <v>27</v>
      </c>
      <c r="O39" s="19" t="s">
        <v>158</v>
      </c>
    </row>
    <row r="40" spans="1:15">
      <c r="A40" s="3">
        <v>238413078</v>
      </c>
      <c r="B40" s="4">
        <v>46069.4608912037</v>
      </c>
      <c r="C40" s="5">
        <f t="shared" si="0"/>
        <v>46069</v>
      </c>
      <c r="D40" s="3" t="str">
        <f t="shared" si="1"/>
        <v>2026-02</v>
      </c>
      <c r="E40" s="3">
        <f t="shared" si="2"/>
        <v>11</v>
      </c>
      <c r="F40" s="3" t="str">
        <f t="shared" si="3"/>
        <v>الإثنين</v>
      </c>
      <c r="G40" s="3" t="s">
        <v>28</v>
      </c>
      <c r="H40" s="3">
        <v>1</v>
      </c>
      <c r="I40" s="3">
        <v>49</v>
      </c>
      <c r="J40" s="3" t="s">
        <v>23</v>
      </c>
      <c r="K40" s="3" t="s">
        <v>24</v>
      </c>
      <c r="L40" s="3" t="s">
        <v>48</v>
      </c>
      <c r="M40" s="3" t="s">
        <v>26</v>
      </c>
      <c r="N40" s="3" t="s">
        <v>27</v>
      </c>
      <c r="O40" s="19" t="s">
        <v>158</v>
      </c>
    </row>
    <row r="41" spans="1:15">
      <c r="A41" s="3">
        <v>238937665</v>
      </c>
      <c r="B41" s="4">
        <v>46071.946157407401</v>
      </c>
      <c r="C41" s="5">
        <f t="shared" si="0"/>
        <v>46071</v>
      </c>
      <c r="D41" s="3" t="str">
        <f t="shared" si="1"/>
        <v>2026-02</v>
      </c>
      <c r="E41" s="3">
        <f t="shared" si="2"/>
        <v>22</v>
      </c>
      <c r="F41" s="3" t="str">
        <f t="shared" si="3"/>
        <v>الأربعاء</v>
      </c>
      <c r="G41" s="3" t="s">
        <v>28</v>
      </c>
      <c r="H41" s="3">
        <v>1</v>
      </c>
      <c r="I41" s="3">
        <v>49</v>
      </c>
      <c r="J41" s="3" t="s">
        <v>23</v>
      </c>
      <c r="K41" s="3" t="s">
        <v>24</v>
      </c>
      <c r="L41" s="3" t="s">
        <v>36</v>
      </c>
      <c r="M41" s="3" t="s">
        <v>26</v>
      </c>
      <c r="N41" s="3" t="s">
        <v>27</v>
      </c>
      <c r="O41" s="19" t="s">
        <v>158</v>
      </c>
    </row>
    <row r="42" spans="1:15">
      <c r="A42" s="3">
        <v>240476147</v>
      </c>
      <c r="B42" s="4">
        <v>46076.580972222197</v>
      </c>
      <c r="C42" s="5">
        <f t="shared" si="0"/>
        <v>46076</v>
      </c>
      <c r="D42" s="3" t="str">
        <f t="shared" si="1"/>
        <v>2026-02</v>
      </c>
      <c r="E42" s="3">
        <f t="shared" si="2"/>
        <v>13</v>
      </c>
      <c r="F42" s="3" t="str">
        <f t="shared" si="3"/>
        <v>الإثنين</v>
      </c>
      <c r="G42" s="3" t="s">
        <v>28</v>
      </c>
      <c r="H42" s="3">
        <v>1</v>
      </c>
      <c r="I42" s="3">
        <v>49</v>
      </c>
      <c r="J42" s="3" t="s">
        <v>23</v>
      </c>
      <c r="K42" s="3" t="s">
        <v>24</v>
      </c>
      <c r="L42" s="3" t="s">
        <v>49</v>
      </c>
      <c r="M42" s="3" t="s">
        <v>26</v>
      </c>
      <c r="N42" s="3" t="s">
        <v>27</v>
      </c>
      <c r="O42" s="19" t="s">
        <v>158</v>
      </c>
    </row>
    <row r="43" spans="1:15">
      <c r="A43" s="3">
        <v>240949518</v>
      </c>
      <c r="B43" s="4">
        <v>46077.238009259301</v>
      </c>
      <c r="C43" s="5">
        <f t="shared" si="0"/>
        <v>46077</v>
      </c>
      <c r="D43" s="3" t="str">
        <f t="shared" si="1"/>
        <v>2026-02</v>
      </c>
      <c r="E43" s="3">
        <f t="shared" si="2"/>
        <v>5</v>
      </c>
      <c r="F43" s="3" t="str">
        <f t="shared" si="3"/>
        <v>الثلاثاء</v>
      </c>
      <c r="G43" s="3" t="s">
        <v>28</v>
      </c>
      <c r="H43" s="3">
        <v>1</v>
      </c>
      <c r="I43" s="3">
        <v>49</v>
      </c>
      <c r="J43" s="3" t="s">
        <v>23</v>
      </c>
      <c r="K43" s="3" t="s">
        <v>24</v>
      </c>
      <c r="L43" s="3" t="s">
        <v>43</v>
      </c>
      <c r="M43" s="3" t="s">
        <v>26</v>
      </c>
      <c r="N43" s="3" t="s">
        <v>27</v>
      </c>
      <c r="O43" s="19" t="s">
        <v>158</v>
      </c>
    </row>
    <row r="44" spans="1:15">
      <c r="A44" s="3">
        <v>241452906</v>
      </c>
      <c r="B44" s="4">
        <v>46078.1949074074</v>
      </c>
      <c r="C44" s="5">
        <f t="shared" si="0"/>
        <v>46078</v>
      </c>
      <c r="D44" s="3" t="str">
        <f t="shared" si="1"/>
        <v>2026-02</v>
      </c>
      <c r="E44" s="3">
        <f t="shared" si="2"/>
        <v>4</v>
      </c>
      <c r="F44" s="3" t="str">
        <f t="shared" si="3"/>
        <v>الأربعاء</v>
      </c>
      <c r="G44" s="3" t="s">
        <v>28</v>
      </c>
      <c r="H44" s="3">
        <v>1</v>
      </c>
      <c r="I44" s="3">
        <v>49</v>
      </c>
      <c r="J44" s="3" t="s">
        <v>29</v>
      </c>
      <c r="K44" s="3" t="s">
        <v>24</v>
      </c>
      <c r="L44" s="3" t="s">
        <v>30</v>
      </c>
      <c r="M44" s="3" t="s">
        <v>26</v>
      </c>
      <c r="N44" s="3" t="s">
        <v>27</v>
      </c>
      <c r="O44" s="19" t="s">
        <v>158</v>
      </c>
    </row>
    <row r="45" spans="1:15">
      <c r="A45" s="3">
        <v>242056075</v>
      </c>
      <c r="B45" s="4">
        <v>46079.488958333299</v>
      </c>
      <c r="C45" s="5">
        <f t="shared" si="0"/>
        <v>46079</v>
      </c>
      <c r="D45" s="3" t="str">
        <f t="shared" si="1"/>
        <v>2026-02</v>
      </c>
      <c r="E45" s="3">
        <f t="shared" si="2"/>
        <v>11</v>
      </c>
      <c r="F45" s="3" t="str">
        <f t="shared" si="3"/>
        <v>الخميس</v>
      </c>
      <c r="G45" s="3" t="s">
        <v>28</v>
      </c>
      <c r="H45" s="3">
        <v>1</v>
      </c>
      <c r="I45" s="3">
        <v>49</v>
      </c>
      <c r="J45" s="3" t="s">
        <v>23</v>
      </c>
      <c r="K45" s="3" t="s">
        <v>24</v>
      </c>
      <c r="L45" s="3" t="s">
        <v>50</v>
      </c>
      <c r="M45" s="3" t="s">
        <v>26</v>
      </c>
      <c r="N45" s="3" t="s">
        <v>27</v>
      </c>
      <c r="O45" s="19" t="s">
        <v>158</v>
      </c>
    </row>
    <row r="46" spans="1:15">
      <c r="A46" s="3">
        <v>242193924</v>
      </c>
      <c r="B46" s="4">
        <v>46079.811388888898</v>
      </c>
      <c r="C46" s="5">
        <f t="shared" si="0"/>
        <v>46079</v>
      </c>
      <c r="D46" s="3" t="str">
        <f t="shared" si="1"/>
        <v>2026-02</v>
      </c>
      <c r="E46" s="3">
        <f t="shared" si="2"/>
        <v>19</v>
      </c>
      <c r="F46" s="3" t="str">
        <f t="shared" si="3"/>
        <v>الخميس</v>
      </c>
      <c r="G46" s="3" t="s">
        <v>28</v>
      </c>
      <c r="H46" s="3">
        <v>1</v>
      </c>
      <c r="I46" s="3">
        <v>49</v>
      </c>
      <c r="J46" s="3" t="s">
        <v>29</v>
      </c>
      <c r="K46" s="3" t="s">
        <v>24</v>
      </c>
      <c r="L46" s="3" t="s">
        <v>44</v>
      </c>
      <c r="M46" s="3" t="s">
        <v>26</v>
      </c>
      <c r="N46" s="3" t="s">
        <v>27</v>
      </c>
      <c r="O46" s="19" t="s">
        <v>158</v>
      </c>
    </row>
    <row r="47" spans="1:15">
      <c r="A47" s="3">
        <v>242618469</v>
      </c>
      <c r="B47" s="4">
        <v>46080.5756944444</v>
      </c>
      <c r="C47" s="5">
        <f t="shared" si="0"/>
        <v>46080</v>
      </c>
      <c r="D47" s="3" t="str">
        <f t="shared" si="1"/>
        <v>2026-02</v>
      </c>
      <c r="E47" s="3">
        <f t="shared" si="2"/>
        <v>13</v>
      </c>
      <c r="F47" s="3" t="str">
        <f t="shared" si="3"/>
        <v>الجمعة</v>
      </c>
      <c r="G47" s="3" t="s">
        <v>28</v>
      </c>
      <c r="H47" s="3">
        <v>1</v>
      </c>
      <c r="I47" s="3">
        <v>49</v>
      </c>
      <c r="J47" s="3" t="s">
        <v>23</v>
      </c>
      <c r="K47" s="3" t="s">
        <v>24</v>
      </c>
      <c r="L47" s="3" t="s">
        <v>50</v>
      </c>
      <c r="M47" s="3" t="s">
        <v>26</v>
      </c>
      <c r="N47" s="3" t="s">
        <v>27</v>
      </c>
      <c r="O47" s="19" t="s">
        <v>158</v>
      </c>
    </row>
    <row r="48" spans="1:15">
      <c r="A48" s="3">
        <v>243392687</v>
      </c>
      <c r="B48" s="4">
        <v>46082.130092592597</v>
      </c>
      <c r="C48" s="5">
        <f t="shared" si="0"/>
        <v>46082</v>
      </c>
      <c r="D48" s="3" t="str">
        <f t="shared" si="1"/>
        <v>2026-03</v>
      </c>
      <c r="E48" s="3">
        <f t="shared" si="2"/>
        <v>3</v>
      </c>
      <c r="F48" s="3" t="str">
        <f t="shared" si="3"/>
        <v>الأحد</v>
      </c>
      <c r="G48" s="3" t="s">
        <v>28</v>
      </c>
      <c r="H48" s="3">
        <v>1</v>
      </c>
      <c r="I48" s="3">
        <v>49.03</v>
      </c>
      <c r="J48" s="3" t="s">
        <v>29</v>
      </c>
      <c r="K48" s="3" t="s">
        <v>24</v>
      </c>
      <c r="L48" s="3" t="s">
        <v>30</v>
      </c>
      <c r="M48" s="3" t="s">
        <v>39</v>
      </c>
      <c r="N48" s="3" t="s">
        <v>27</v>
      </c>
      <c r="O48" s="19" t="s">
        <v>158</v>
      </c>
    </row>
    <row r="49" spans="1:15">
      <c r="A49" s="3">
        <v>243544695</v>
      </c>
      <c r="B49" s="4">
        <v>46082.583159722199</v>
      </c>
      <c r="C49" s="5">
        <f t="shared" si="0"/>
        <v>46082</v>
      </c>
      <c r="D49" s="3" t="str">
        <f t="shared" si="1"/>
        <v>2026-03</v>
      </c>
      <c r="E49" s="3">
        <f t="shared" si="2"/>
        <v>13</v>
      </c>
      <c r="F49" s="3" t="str">
        <f t="shared" si="3"/>
        <v>الأحد</v>
      </c>
      <c r="G49" s="3" t="s">
        <v>28</v>
      </c>
      <c r="H49" s="3">
        <v>1</v>
      </c>
      <c r="I49" s="3">
        <v>49</v>
      </c>
      <c r="J49" s="3" t="s">
        <v>23</v>
      </c>
      <c r="K49" s="3" t="s">
        <v>24</v>
      </c>
      <c r="L49" s="3" t="s">
        <v>51</v>
      </c>
      <c r="M49" s="3" t="s">
        <v>26</v>
      </c>
      <c r="N49" s="3" t="s">
        <v>27</v>
      </c>
      <c r="O49" s="19" t="s">
        <v>158</v>
      </c>
    </row>
    <row r="50" spans="1:15">
      <c r="A50" s="3">
        <v>243833656</v>
      </c>
      <c r="B50" s="4">
        <v>46083.097511574102</v>
      </c>
      <c r="C50" s="5">
        <f t="shared" si="0"/>
        <v>46083</v>
      </c>
      <c r="D50" s="3" t="str">
        <f t="shared" si="1"/>
        <v>2026-03</v>
      </c>
      <c r="E50" s="3">
        <f t="shared" si="2"/>
        <v>2</v>
      </c>
      <c r="F50" s="3" t="str">
        <f t="shared" si="3"/>
        <v>الإثنين</v>
      </c>
      <c r="G50" s="3" t="s">
        <v>28</v>
      </c>
      <c r="H50" s="3">
        <v>1</v>
      </c>
      <c r="I50" s="3">
        <v>49.03</v>
      </c>
      <c r="J50" s="3" t="s">
        <v>29</v>
      </c>
      <c r="K50" s="3" t="s">
        <v>24</v>
      </c>
      <c r="L50" s="3" t="s">
        <v>52</v>
      </c>
      <c r="M50" s="3" t="s">
        <v>39</v>
      </c>
      <c r="N50" s="3" t="s">
        <v>27</v>
      </c>
      <c r="O50" s="19" t="s">
        <v>158</v>
      </c>
    </row>
    <row r="51" spans="1:15">
      <c r="A51" s="3">
        <v>243951041</v>
      </c>
      <c r="B51" s="4">
        <v>46083.282986111102</v>
      </c>
      <c r="C51" s="5">
        <f t="shared" si="0"/>
        <v>46083</v>
      </c>
      <c r="D51" s="3" t="str">
        <f t="shared" si="1"/>
        <v>2026-03</v>
      </c>
      <c r="E51" s="3">
        <f t="shared" si="2"/>
        <v>6</v>
      </c>
      <c r="F51" s="3" t="str">
        <f t="shared" si="3"/>
        <v>الإثنين</v>
      </c>
      <c r="G51" s="3" t="s">
        <v>28</v>
      </c>
      <c r="H51" s="3">
        <v>1</v>
      </c>
      <c r="I51" s="3">
        <v>49</v>
      </c>
      <c r="J51" s="3" t="s">
        <v>23</v>
      </c>
      <c r="K51" s="3" t="s">
        <v>24</v>
      </c>
      <c r="L51" s="3" t="s">
        <v>30</v>
      </c>
      <c r="M51" s="3" t="s">
        <v>26</v>
      </c>
      <c r="N51" s="3" t="s">
        <v>27</v>
      </c>
      <c r="O51" s="19" t="s">
        <v>158</v>
      </c>
    </row>
    <row r="52" spans="1:15">
      <c r="A52" s="3">
        <v>244001166</v>
      </c>
      <c r="B52" s="4">
        <v>46083.486018518503</v>
      </c>
      <c r="C52" s="5">
        <f t="shared" si="0"/>
        <v>46083</v>
      </c>
      <c r="D52" s="3" t="str">
        <f t="shared" si="1"/>
        <v>2026-03</v>
      </c>
      <c r="E52" s="3">
        <f t="shared" si="2"/>
        <v>11</v>
      </c>
      <c r="F52" s="3" t="str">
        <f t="shared" si="3"/>
        <v>الإثنين</v>
      </c>
      <c r="G52" s="3" t="s">
        <v>28</v>
      </c>
      <c r="H52" s="3">
        <v>1</v>
      </c>
      <c r="I52" s="3">
        <v>49</v>
      </c>
      <c r="J52" s="3" t="s">
        <v>23</v>
      </c>
      <c r="K52" s="3" t="s">
        <v>24</v>
      </c>
      <c r="L52" s="3" t="s">
        <v>74</v>
      </c>
      <c r="M52" s="3" t="s">
        <v>26</v>
      </c>
      <c r="N52" s="3" t="s">
        <v>27</v>
      </c>
      <c r="O52" s="19" t="s">
        <v>158</v>
      </c>
    </row>
    <row r="53" spans="1:15">
      <c r="A53" s="3">
        <v>244401751</v>
      </c>
      <c r="B53" s="4">
        <v>46084.3374189815</v>
      </c>
      <c r="C53" s="5">
        <f t="shared" si="0"/>
        <v>46084</v>
      </c>
      <c r="D53" s="3" t="str">
        <f t="shared" si="1"/>
        <v>2026-03</v>
      </c>
      <c r="E53" s="3">
        <f t="shared" si="2"/>
        <v>8</v>
      </c>
      <c r="F53" s="3" t="str">
        <f t="shared" si="3"/>
        <v>الثلاثاء</v>
      </c>
      <c r="G53" s="3" t="s">
        <v>28</v>
      </c>
      <c r="H53" s="3">
        <v>1</v>
      </c>
      <c r="I53" s="3">
        <v>49</v>
      </c>
      <c r="J53" s="3" t="s">
        <v>23</v>
      </c>
      <c r="K53" s="3" t="s">
        <v>24</v>
      </c>
      <c r="L53" s="3" t="s">
        <v>37</v>
      </c>
      <c r="M53" s="3" t="s">
        <v>26</v>
      </c>
      <c r="N53" s="3" t="s">
        <v>27</v>
      </c>
      <c r="O53" s="19" t="s">
        <v>158</v>
      </c>
    </row>
    <row r="54" spans="1:15">
      <c r="A54" s="3">
        <v>244683772</v>
      </c>
      <c r="B54" s="4">
        <v>46085.082812499997</v>
      </c>
      <c r="C54" s="5">
        <f t="shared" si="0"/>
        <v>46085</v>
      </c>
      <c r="D54" s="3" t="str">
        <f t="shared" si="1"/>
        <v>2026-03</v>
      </c>
      <c r="E54" s="3">
        <f t="shared" si="2"/>
        <v>1</v>
      </c>
      <c r="F54" s="3" t="str">
        <f t="shared" si="3"/>
        <v>الأربعاء</v>
      </c>
      <c r="G54" s="3" t="s">
        <v>28</v>
      </c>
      <c r="H54" s="3">
        <v>1</v>
      </c>
      <c r="I54" s="3">
        <v>49</v>
      </c>
      <c r="J54" s="3" t="s">
        <v>23</v>
      </c>
      <c r="K54" s="3" t="s">
        <v>24</v>
      </c>
      <c r="L54" s="3" t="s">
        <v>33</v>
      </c>
      <c r="M54" s="3" t="s">
        <v>26</v>
      </c>
      <c r="N54" s="3" t="s">
        <v>27</v>
      </c>
      <c r="O54" s="19" t="s">
        <v>157</v>
      </c>
    </row>
    <row r="55" spans="1:15">
      <c r="A55" s="3">
        <v>244847995</v>
      </c>
      <c r="B55" s="4">
        <v>46085.5391550926</v>
      </c>
      <c r="C55" s="5">
        <f t="shared" si="0"/>
        <v>46085</v>
      </c>
      <c r="D55" s="3" t="str">
        <f t="shared" si="1"/>
        <v>2026-03</v>
      </c>
      <c r="E55" s="3">
        <f t="shared" si="2"/>
        <v>12</v>
      </c>
      <c r="F55" s="3" t="str">
        <f t="shared" si="3"/>
        <v>الأربعاء</v>
      </c>
      <c r="G55" s="3" t="s">
        <v>28</v>
      </c>
      <c r="H55" s="3">
        <v>1</v>
      </c>
      <c r="I55" s="3">
        <v>49</v>
      </c>
      <c r="J55" s="3" t="s">
        <v>23</v>
      </c>
      <c r="K55" s="3" t="s">
        <v>24</v>
      </c>
      <c r="L55" s="3" t="s">
        <v>50</v>
      </c>
      <c r="M55" s="3" t="s">
        <v>26</v>
      </c>
      <c r="N55" s="3" t="s">
        <v>27</v>
      </c>
      <c r="O55" s="19" t="s">
        <v>158</v>
      </c>
    </row>
    <row r="56" spans="1:15">
      <c r="A56" s="3">
        <v>245207790</v>
      </c>
      <c r="B56" s="4">
        <v>46086.423229166699</v>
      </c>
      <c r="C56" s="5">
        <f t="shared" si="0"/>
        <v>46086</v>
      </c>
      <c r="D56" s="3" t="str">
        <f t="shared" si="1"/>
        <v>2026-03</v>
      </c>
      <c r="E56" s="3">
        <f t="shared" si="2"/>
        <v>10</v>
      </c>
      <c r="F56" s="3" t="str">
        <f t="shared" si="3"/>
        <v>الخميس</v>
      </c>
      <c r="G56" s="3" t="s">
        <v>28</v>
      </c>
      <c r="H56" s="3">
        <v>1</v>
      </c>
      <c r="I56" s="3">
        <v>49</v>
      </c>
      <c r="J56" s="3" t="s">
        <v>29</v>
      </c>
      <c r="K56" s="3" t="s">
        <v>24</v>
      </c>
      <c r="L56" s="3" t="s">
        <v>30</v>
      </c>
      <c r="M56" s="3" t="s">
        <v>26</v>
      </c>
      <c r="N56" s="3" t="s">
        <v>27</v>
      </c>
      <c r="O56" s="19" t="s">
        <v>157</v>
      </c>
    </row>
    <row r="57" spans="1:15">
      <c r="A57" s="3">
        <v>245676265</v>
      </c>
      <c r="B57" s="4">
        <v>46087.823182870401</v>
      </c>
      <c r="C57" s="5">
        <f t="shared" si="0"/>
        <v>46087</v>
      </c>
      <c r="D57" s="3" t="str">
        <f t="shared" si="1"/>
        <v>2026-03</v>
      </c>
      <c r="E57" s="3">
        <f t="shared" si="2"/>
        <v>19</v>
      </c>
      <c r="F57" s="3" t="str">
        <f t="shared" si="3"/>
        <v>الجمعة</v>
      </c>
      <c r="G57" s="3" t="s">
        <v>28</v>
      </c>
      <c r="H57" s="3">
        <v>1</v>
      </c>
      <c r="I57" s="3">
        <v>49</v>
      </c>
      <c r="J57" s="3" t="s">
        <v>29</v>
      </c>
      <c r="K57" s="3" t="s">
        <v>24</v>
      </c>
      <c r="L57" s="3" t="s">
        <v>30</v>
      </c>
      <c r="M57" s="3" t="s">
        <v>53</v>
      </c>
      <c r="N57" s="3" t="s">
        <v>27</v>
      </c>
      <c r="O57" s="19" t="s">
        <v>157</v>
      </c>
    </row>
    <row r="58" spans="1:15">
      <c r="A58" s="3">
        <v>245809952</v>
      </c>
      <c r="B58" s="4">
        <v>46088.088333333297</v>
      </c>
      <c r="C58" s="5">
        <f t="shared" si="0"/>
        <v>46088</v>
      </c>
      <c r="D58" s="3" t="str">
        <f t="shared" si="1"/>
        <v>2026-03</v>
      </c>
      <c r="E58" s="3">
        <f t="shared" si="2"/>
        <v>2</v>
      </c>
      <c r="F58" s="3" t="str">
        <f t="shared" si="3"/>
        <v>السبت</v>
      </c>
      <c r="G58" s="3" t="s">
        <v>28</v>
      </c>
      <c r="H58" s="3">
        <v>1</v>
      </c>
      <c r="I58" s="3">
        <v>49</v>
      </c>
      <c r="J58" s="3" t="s">
        <v>29</v>
      </c>
      <c r="K58" s="3" t="s">
        <v>24</v>
      </c>
      <c r="L58" s="3" t="s">
        <v>54</v>
      </c>
      <c r="M58" s="3" t="s">
        <v>53</v>
      </c>
      <c r="N58" s="3" t="s">
        <v>27</v>
      </c>
      <c r="O58" s="19" t="s">
        <v>158</v>
      </c>
    </row>
    <row r="59" spans="1:15">
      <c r="A59" s="3">
        <v>245898077</v>
      </c>
      <c r="B59" s="4">
        <v>46088.250219907401</v>
      </c>
      <c r="C59" s="5">
        <f t="shared" si="0"/>
        <v>46088</v>
      </c>
      <c r="D59" s="3" t="str">
        <f t="shared" si="1"/>
        <v>2026-03</v>
      </c>
      <c r="E59" s="3">
        <f t="shared" si="2"/>
        <v>6</v>
      </c>
      <c r="F59" s="3" t="str">
        <f t="shared" si="3"/>
        <v>السبت</v>
      </c>
      <c r="G59" s="3" t="s">
        <v>28</v>
      </c>
      <c r="H59" s="3">
        <v>1</v>
      </c>
      <c r="I59" s="3">
        <v>49</v>
      </c>
      <c r="J59" s="3" t="s">
        <v>29</v>
      </c>
      <c r="K59" s="3" t="s">
        <v>24</v>
      </c>
      <c r="L59" s="3" t="s">
        <v>30</v>
      </c>
      <c r="M59" s="3" t="s">
        <v>26</v>
      </c>
      <c r="N59" s="3" t="s">
        <v>27</v>
      </c>
      <c r="O59" s="19" t="s">
        <v>157</v>
      </c>
    </row>
    <row r="60" spans="1:15">
      <c r="A60" s="3">
        <v>245898084</v>
      </c>
      <c r="B60" s="4">
        <v>46088.250231481499</v>
      </c>
      <c r="C60" s="5">
        <f t="shared" si="0"/>
        <v>46088</v>
      </c>
      <c r="D60" s="3" t="str">
        <f t="shared" si="1"/>
        <v>2026-03</v>
      </c>
      <c r="E60" s="3">
        <f t="shared" si="2"/>
        <v>6</v>
      </c>
      <c r="F60" s="3" t="str">
        <f t="shared" si="3"/>
        <v>السبت</v>
      </c>
      <c r="G60" s="3" t="s">
        <v>28</v>
      </c>
      <c r="H60" s="3">
        <v>1</v>
      </c>
      <c r="I60" s="3">
        <v>49</v>
      </c>
      <c r="J60" s="3" t="s">
        <v>23</v>
      </c>
      <c r="K60" s="3" t="s">
        <v>24</v>
      </c>
      <c r="L60" s="3" t="s">
        <v>30</v>
      </c>
      <c r="M60" s="3" t="s">
        <v>26</v>
      </c>
      <c r="N60" s="3" t="s">
        <v>27</v>
      </c>
      <c r="O60" s="19" t="s">
        <v>158</v>
      </c>
    </row>
    <row r="61" spans="1:15">
      <c r="A61" s="3">
        <v>246607203</v>
      </c>
      <c r="B61" s="4">
        <v>46090.300011574102</v>
      </c>
      <c r="C61" s="5">
        <f t="shared" si="0"/>
        <v>46090</v>
      </c>
      <c r="D61" s="3" t="str">
        <f t="shared" si="1"/>
        <v>2026-03</v>
      </c>
      <c r="E61" s="3">
        <f t="shared" si="2"/>
        <v>7</v>
      </c>
      <c r="F61" s="3" t="str">
        <f t="shared" si="3"/>
        <v>الإثنين</v>
      </c>
      <c r="G61" s="3" t="s">
        <v>28</v>
      </c>
      <c r="H61" s="3">
        <v>1</v>
      </c>
      <c r="I61" s="3">
        <v>49</v>
      </c>
      <c r="J61" s="3" t="s">
        <v>23</v>
      </c>
      <c r="K61" s="3" t="s">
        <v>24</v>
      </c>
      <c r="L61" s="3" t="s">
        <v>30</v>
      </c>
      <c r="M61" s="3" t="s">
        <v>26</v>
      </c>
      <c r="N61" s="3" t="s">
        <v>27</v>
      </c>
      <c r="O61" s="19" t="s">
        <v>158</v>
      </c>
    </row>
    <row r="62" spans="1:15">
      <c r="A62" s="3">
        <v>246904995</v>
      </c>
      <c r="B62" s="4">
        <v>46091.1409837963</v>
      </c>
      <c r="C62" s="5">
        <f t="shared" si="0"/>
        <v>46091</v>
      </c>
      <c r="D62" s="3" t="str">
        <f t="shared" si="1"/>
        <v>2026-03</v>
      </c>
      <c r="E62" s="3">
        <f t="shared" si="2"/>
        <v>3</v>
      </c>
      <c r="F62" s="3" t="str">
        <f t="shared" si="3"/>
        <v>الثلاثاء</v>
      </c>
      <c r="G62" s="3" t="s">
        <v>28</v>
      </c>
      <c r="H62" s="3">
        <v>1</v>
      </c>
      <c r="I62" s="3">
        <v>49</v>
      </c>
      <c r="J62" s="3" t="s">
        <v>23</v>
      </c>
      <c r="K62" s="3" t="s">
        <v>24</v>
      </c>
      <c r="L62" s="3" t="s">
        <v>50</v>
      </c>
      <c r="M62" s="3" t="s">
        <v>26</v>
      </c>
      <c r="N62" s="3" t="s">
        <v>27</v>
      </c>
      <c r="O62" s="19" t="s">
        <v>157</v>
      </c>
    </row>
    <row r="63" spans="1:15">
      <c r="A63" s="3">
        <v>247130695</v>
      </c>
      <c r="B63" s="4">
        <v>46091.855034722197</v>
      </c>
      <c r="C63" s="5">
        <f t="shared" si="0"/>
        <v>46091</v>
      </c>
      <c r="D63" s="3" t="str">
        <f t="shared" si="1"/>
        <v>2026-03</v>
      </c>
      <c r="E63" s="3">
        <f t="shared" si="2"/>
        <v>20</v>
      </c>
      <c r="F63" s="3" t="str">
        <f t="shared" si="3"/>
        <v>الثلاثاء</v>
      </c>
      <c r="G63" s="3" t="s">
        <v>28</v>
      </c>
      <c r="H63" s="3">
        <v>1</v>
      </c>
      <c r="I63" s="3">
        <v>49.06</v>
      </c>
      <c r="J63" s="3" t="s">
        <v>29</v>
      </c>
      <c r="K63" s="3" t="s">
        <v>24</v>
      </c>
      <c r="L63" s="3" t="s">
        <v>55</v>
      </c>
      <c r="M63" s="3" t="s">
        <v>39</v>
      </c>
      <c r="N63" s="3" t="s">
        <v>27</v>
      </c>
      <c r="O63" s="19" t="s">
        <v>158</v>
      </c>
    </row>
    <row r="64" spans="1:15">
      <c r="A64" s="3">
        <v>248471034</v>
      </c>
      <c r="B64" s="4">
        <v>46096.145995370403</v>
      </c>
      <c r="C64" s="5">
        <f t="shared" si="0"/>
        <v>46096</v>
      </c>
      <c r="D64" s="3" t="str">
        <f t="shared" si="1"/>
        <v>2026-03</v>
      </c>
      <c r="E64" s="3">
        <f t="shared" si="2"/>
        <v>3</v>
      </c>
      <c r="F64" s="3" t="str">
        <f t="shared" si="3"/>
        <v>الأحد</v>
      </c>
      <c r="G64" s="3" t="s">
        <v>28</v>
      </c>
      <c r="H64" s="3">
        <v>1</v>
      </c>
      <c r="I64" s="3">
        <v>49</v>
      </c>
      <c r="J64" s="3" t="s">
        <v>23</v>
      </c>
      <c r="K64" s="3" t="s">
        <v>24</v>
      </c>
      <c r="L64" s="3" t="s">
        <v>56</v>
      </c>
      <c r="M64" s="3" t="s">
        <v>26</v>
      </c>
      <c r="N64" s="3" t="s">
        <v>27</v>
      </c>
      <c r="O64" s="19" t="s">
        <v>158</v>
      </c>
    </row>
    <row r="65" spans="1:15">
      <c r="A65" s="3">
        <v>248899848</v>
      </c>
      <c r="B65" s="4">
        <v>46097.895462963003</v>
      </c>
      <c r="C65" s="5">
        <f t="shared" si="0"/>
        <v>46097</v>
      </c>
      <c r="D65" s="3" t="str">
        <f t="shared" si="1"/>
        <v>2026-03</v>
      </c>
      <c r="E65" s="3">
        <f t="shared" si="2"/>
        <v>21</v>
      </c>
      <c r="F65" s="3" t="str">
        <f t="shared" si="3"/>
        <v>الإثنين</v>
      </c>
      <c r="G65" s="3" t="s">
        <v>28</v>
      </c>
      <c r="H65" s="3">
        <v>1</v>
      </c>
      <c r="I65" s="3">
        <v>49</v>
      </c>
      <c r="J65" s="3" t="s">
        <v>23</v>
      </c>
      <c r="K65" s="3" t="s">
        <v>24</v>
      </c>
      <c r="L65" s="3" t="s">
        <v>43</v>
      </c>
      <c r="M65" s="3" t="s">
        <v>26</v>
      </c>
      <c r="N65" s="3" t="s">
        <v>27</v>
      </c>
      <c r="O65" s="19" t="s">
        <v>158</v>
      </c>
    </row>
    <row r="66" spans="1:15">
      <c r="A66" s="3">
        <v>249077374</v>
      </c>
      <c r="B66" s="4">
        <v>46098.8366550926</v>
      </c>
      <c r="C66" s="5">
        <f t="shared" ref="C66:C129" si="4">INT(B66)</f>
        <v>46098</v>
      </c>
      <c r="D66" s="3" t="str">
        <f t="shared" ref="D66:D129" si="5">TEXT(B66,"yyyy-mm")</f>
        <v>2026-03</v>
      </c>
      <c r="E66" s="3">
        <f t="shared" ref="E66:E129" si="6">HOUR(B66)</f>
        <v>20</v>
      </c>
      <c r="F66" s="3" t="str">
        <f t="shared" ref="F66:F129" si="7">CHOOSE(WEEKDAY(B66,2),"الإثنين","الثلاثاء","الأربعاء","الخميس","الجمعة","السبت","الأحد")</f>
        <v>الثلاثاء</v>
      </c>
      <c r="G66" s="3" t="s">
        <v>28</v>
      </c>
      <c r="H66" s="3">
        <v>2</v>
      </c>
      <c r="I66" s="3">
        <v>98</v>
      </c>
      <c r="J66" s="3" t="s">
        <v>23</v>
      </c>
      <c r="K66" s="3" t="s">
        <v>24</v>
      </c>
      <c r="L66" s="3" t="s">
        <v>44</v>
      </c>
      <c r="M66" s="3" t="s">
        <v>26</v>
      </c>
      <c r="N66" s="3" t="s">
        <v>27</v>
      </c>
      <c r="O66" s="19" t="s">
        <v>158</v>
      </c>
    </row>
    <row r="67" spans="1:15">
      <c r="A67" s="3">
        <v>249328529</v>
      </c>
      <c r="B67" s="4">
        <v>46100.165972222203</v>
      </c>
      <c r="C67" s="5">
        <f t="shared" si="4"/>
        <v>46100</v>
      </c>
      <c r="D67" s="3" t="str">
        <f t="shared" si="5"/>
        <v>2026-03</v>
      </c>
      <c r="E67" s="3">
        <f t="shared" si="6"/>
        <v>3</v>
      </c>
      <c r="F67" s="3" t="str">
        <f t="shared" si="7"/>
        <v>الخميس</v>
      </c>
      <c r="G67" s="3" t="s">
        <v>28</v>
      </c>
      <c r="H67" s="3">
        <v>1</v>
      </c>
      <c r="I67" s="3">
        <v>49</v>
      </c>
      <c r="J67" s="3" t="s">
        <v>29</v>
      </c>
      <c r="K67" s="3" t="s">
        <v>24</v>
      </c>
      <c r="L67" s="3" t="s">
        <v>57</v>
      </c>
      <c r="M67" s="3" t="s">
        <v>26</v>
      </c>
      <c r="N67" s="3" t="s">
        <v>27</v>
      </c>
      <c r="O67" s="19" t="s">
        <v>158</v>
      </c>
    </row>
    <row r="68" spans="1:15">
      <c r="A68" s="3">
        <v>249790568</v>
      </c>
      <c r="B68" s="4">
        <v>46104.351307870398</v>
      </c>
      <c r="C68" s="5">
        <f t="shared" si="4"/>
        <v>46104</v>
      </c>
      <c r="D68" s="3" t="str">
        <f t="shared" si="5"/>
        <v>2026-03</v>
      </c>
      <c r="E68" s="3">
        <f t="shared" si="6"/>
        <v>8</v>
      </c>
      <c r="F68" s="3" t="str">
        <f t="shared" si="7"/>
        <v>الإثنين</v>
      </c>
      <c r="G68" s="3" t="s">
        <v>28</v>
      </c>
      <c r="H68" s="3">
        <v>1</v>
      </c>
      <c r="I68" s="3">
        <v>49</v>
      </c>
      <c r="J68" s="3" t="s">
        <v>29</v>
      </c>
      <c r="K68" s="3" t="s">
        <v>24</v>
      </c>
      <c r="L68" s="3" t="s">
        <v>54</v>
      </c>
      <c r="M68" s="3" t="s">
        <v>53</v>
      </c>
      <c r="N68" s="3" t="s">
        <v>27</v>
      </c>
      <c r="O68" s="19" t="s">
        <v>158</v>
      </c>
    </row>
    <row r="69" spans="1:15">
      <c r="A69" s="3">
        <v>249903083</v>
      </c>
      <c r="B69" s="4">
        <v>46105.239351851902</v>
      </c>
      <c r="C69" s="5">
        <f t="shared" si="4"/>
        <v>46105</v>
      </c>
      <c r="D69" s="3" t="str">
        <f t="shared" si="5"/>
        <v>2026-03</v>
      </c>
      <c r="E69" s="3">
        <f t="shared" si="6"/>
        <v>5</v>
      </c>
      <c r="F69" s="3" t="str">
        <f t="shared" si="7"/>
        <v>الثلاثاء</v>
      </c>
      <c r="G69" s="3" t="s">
        <v>28</v>
      </c>
      <c r="H69" s="3">
        <v>1</v>
      </c>
      <c r="I69" s="3">
        <v>49</v>
      </c>
      <c r="J69" s="3" t="s">
        <v>23</v>
      </c>
      <c r="K69" s="3" t="s">
        <v>24</v>
      </c>
      <c r="L69" s="3" t="s">
        <v>43</v>
      </c>
      <c r="M69" s="3" t="s">
        <v>26</v>
      </c>
      <c r="N69" s="3" t="s">
        <v>27</v>
      </c>
      <c r="O69" s="19" t="s">
        <v>158</v>
      </c>
    </row>
    <row r="70" spans="1:15">
      <c r="A70" s="3">
        <v>250192129</v>
      </c>
      <c r="B70" s="4">
        <v>46107.101493055598</v>
      </c>
      <c r="C70" s="5">
        <f t="shared" si="4"/>
        <v>46107</v>
      </c>
      <c r="D70" s="3" t="str">
        <f t="shared" si="5"/>
        <v>2026-03</v>
      </c>
      <c r="E70" s="3">
        <f t="shared" si="6"/>
        <v>2</v>
      </c>
      <c r="F70" s="3" t="str">
        <f t="shared" si="7"/>
        <v>الخميس</v>
      </c>
      <c r="G70" s="3" t="s">
        <v>28</v>
      </c>
      <c r="H70" s="3">
        <v>1</v>
      </c>
      <c r="I70" s="3">
        <v>49.01</v>
      </c>
      <c r="J70" s="3" t="s">
        <v>29</v>
      </c>
      <c r="K70" s="3" t="s">
        <v>24</v>
      </c>
      <c r="L70" s="3" t="s">
        <v>58</v>
      </c>
      <c r="M70" s="3" t="s">
        <v>39</v>
      </c>
      <c r="N70" s="3" t="s">
        <v>27</v>
      </c>
      <c r="O70" s="19" t="s">
        <v>158</v>
      </c>
    </row>
    <row r="71" spans="1:15">
      <c r="A71" s="3">
        <v>250376887</v>
      </c>
      <c r="B71" s="4">
        <v>46107.871064814797</v>
      </c>
      <c r="C71" s="5">
        <f t="shared" si="4"/>
        <v>46107</v>
      </c>
      <c r="D71" s="3" t="str">
        <f t="shared" si="5"/>
        <v>2026-03</v>
      </c>
      <c r="E71" s="3">
        <f t="shared" si="6"/>
        <v>20</v>
      </c>
      <c r="F71" s="3" t="str">
        <f t="shared" si="7"/>
        <v>الخميس</v>
      </c>
      <c r="G71" s="3" t="s">
        <v>28</v>
      </c>
      <c r="H71" s="3">
        <v>1</v>
      </c>
      <c r="I71" s="3">
        <v>49</v>
      </c>
      <c r="J71" s="3" t="s">
        <v>23</v>
      </c>
      <c r="K71" s="3" t="s">
        <v>24</v>
      </c>
      <c r="L71" s="3" t="s">
        <v>30</v>
      </c>
      <c r="M71" s="3" t="s">
        <v>26</v>
      </c>
      <c r="N71" s="3" t="s">
        <v>27</v>
      </c>
      <c r="O71" s="19" t="s">
        <v>158</v>
      </c>
    </row>
    <row r="72" spans="1:15">
      <c r="A72" s="3">
        <v>252483499</v>
      </c>
      <c r="B72" s="4">
        <v>46117.427858796298</v>
      </c>
      <c r="C72" s="5">
        <f t="shared" si="4"/>
        <v>46117</v>
      </c>
      <c r="D72" s="3" t="str">
        <f t="shared" si="5"/>
        <v>2026-04</v>
      </c>
      <c r="E72" s="3">
        <f t="shared" si="6"/>
        <v>10</v>
      </c>
      <c r="F72" s="3" t="str">
        <f t="shared" si="7"/>
        <v>الأحد</v>
      </c>
      <c r="G72" s="3" t="s">
        <v>28</v>
      </c>
      <c r="H72" s="3">
        <v>1</v>
      </c>
      <c r="I72" s="3">
        <v>49</v>
      </c>
      <c r="J72" s="3" t="s">
        <v>23</v>
      </c>
      <c r="K72" s="3" t="s">
        <v>24</v>
      </c>
      <c r="L72" s="3" t="s">
        <v>30</v>
      </c>
      <c r="M72" s="3" t="s">
        <v>26</v>
      </c>
      <c r="N72" s="3" t="s">
        <v>27</v>
      </c>
      <c r="O72" s="19" t="s">
        <v>158</v>
      </c>
    </row>
    <row r="73" spans="1:15">
      <c r="A73" s="3">
        <v>252711659</v>
      </c>
      <c r="B73" s="4">
        <v>46118.574548611097</v>
      </c>
      <c r="C73" s="5">
        <f t="shared" si="4"/>
        <v>46118</v>
      </c>
      <c r="D73" s="3" t="str">
        <f t="shared" si="5"/>
        <v>2026-04</v>
      </c>
      <c r="E73" s="3">
        <f t="shared" si="6"/>
        <v>13</v>
      </c>
      <c r="F73" s="3" t="str">
        <f t="shared" si="7"/>
        <v>الإثنين</v>
      </c>
      <c r="G73" s="3" t="s">
        <v>28</v>
      </c>
      <c r="H73" s="3">
        <v>1</v>
      </c>
      <c r="I73" s="3">
        <v>49</v>
      </c>
      <c r="J73" s="3" t="s">
        <v>29</v>
      </c>
      <c r="K73" s="3" t="s">
        <v>24</v>
      </c>
      <c r="L73" s="3" t="s">
        <v>30</v>
      </c>
      <c r="M73" s="3" t="s">
        <v>53</v>
      </c>
      <c r="N73" s="3" t="s">
        <v>27</v>
      </c>
      <c r="O73" s="19" t="s">
        <v>158</v>
      </c>
    </row>
    <row r="74" spans="1:15">
      <c r="A74" s="3">
        <v>252855834</v>
      </c>
      <c r="B74" s="4">
        <v>46119.233402777798</v>
      </c>
      <c r="C74" s="5">
        <f t="shared" si="4"/>
        <v>46119</v>
      </c>
      <c r="D74" s="3" t="str">
        <f t="shared" si="5"/>
        <v>2026-04</v>
      </c>
      <c r="E74" s="3">
        <f t="shared" si="6"/>
        <v>5</v>
      </c>
      <c r="F74" s="3" t="str">
        <f t="shared" si="7"/>
        <v>الثلاثاء</v>
      </c>
      <c r="G74" s="3" t="s">
        <v>28</v>
      </c>
      <c r="H74" s="3">
        <v>1</v>
      </c>
      <c r="I74" s="3">
        <v>49</v>
      </c>
      <c r="J74" s="3" t="s">
        <v>23</v>
      </c>
      <c r="K74" s="3" t="s">
        <v>24</v>
      </c>
      <c r="L74" s="3" t="s">
        <v>30</v>
      </c>
      <c r="M74" s="3" t="s">
        <v>26</v>
      </c>
      <c r="N74" s="3" t="s">
        <v>27</v>
      </c>
      <c r="O74" s="19" t="s">
        <v>157</v>
      </c>
    </row>
    <row r="75" spans="1:15">
      <c r="A75" s="3">
        <v>253596994</v>
      </c>
      <c r="B75" s="4">
        <v>46123.303958333301</v>
      </c>
      <c r="C75" s="5">
        <f t="shared" si="4"/>
        <v>46123</v>
      </c>
      <c r="D75" s="3" t="str">
        <f t="shared" si="5"/>
        <v>2026-04</v>
      </c>
      <c r="E75" s="3">
        <f t="shared" si="6"/>
        <v>7</v>
      </c>
      <c r="F75" s="3" t="str">
        <f t="shared" si="7"/>
        <v>السبت</v>
      </c>
      <c r="G75" s="3" t="s">
        <v>28</v>
      </c>
      <c r="H75" s="3">
        <v>1</v>
      </c>
      <c r="I75" s="3">
        <v>49</v>
      </c>
      <c r="J75" s="3" t="s">
        <v>23</v>
      </c>
      <c r="K75" s="3" t="s">
        <v>24</v>
      </c>
      <c r="L75" s="3" t="s">
        <v>30</v>
      </c>
      <c r="M75" s="3" t="s">
        <v>26</v>
      </c>
      <c r="N75" s="3" t="s">
        <v>27</v>
      </c>
      <c r="O75" s="19" t="s">
        <v>158</v>
      </c>
    </row>
    <row r="76" spans="1:15">
      <c r="A76" s="3">
        <v>253762922</v>
      </c>
      <c r="B76" s="4">
        <v>46124.171284722201</v>
      </c>
      <c r="C76" s="5">
        <f t="shared" si="4"/>
        <v>46124</v>
      </c>
      <c r="D76" s="3" t="str">
        <f t="shared" si="5"/>
        <v>2026-04</v>
      </c>
      <c r="E76" s="3">
        <f t="shared" si="6"/>
        <v>4</v>
      </c>
      <c r="F76" s="3" t="str">
        <f t="shared" si="7"/>
        <v>الأحد</v>
      </c>
      <c r="G76" s="3" t="s">
        <v>28</v>
      </c>
      <c r="H76" s="3">
        <v>1</v>
      </c>
      <c r="I76" s="3">
        <v>49</v>
      </c>
      <c r="J76" s="3" t="s">
        <v>23</v>
      </c>
      <c r="K76" s="3" t="s">
        <v>24</v>
      </c>
      <c r="L76" s="3" t="s">
        <v>43</v>
      </c>
      <c r="M76" s="3" t="s">
        <v>26</v>
      </c>
      <c r="N76" s="3" t="s">
        <v>27</v>
      </c>
      <c r="O76" s="19" t="s">
        <v>158</v>
      </c>
    </row>
    <row r="77" spans="1:15">
      <c r="A77" s="3">
        <v>253765905</v>
      </c>
      <c r="B77" s="4">
        <v>46124.210196759297</v>
      </c>
      <c r="C77" s="5">
        <f t="shared" si="4"/>
        <v>46124</v>
      </c>
      <c r="D77" s="3" t="str">
        <f t="shared" si="5"/>
        <v>2026-04</v>
      </c>
      <c r="E77" s="3">
        <f t="shared" si="6"/>
        <v>5</v>
      </c>
      <c r="F77" s="3" t="str">
        <f t="shared" si="7"/>
        <v>الأحد</v>
      </c>
      <c r="G77" s="3" t="s">
        <v>28</v>
      </c>
      <c r="H77" s="3">
        <v>1</v>
      </c>
      <c r="I77" s="3">
        <v>49</v>
      </c>
      <c r="J77" s="3" t="s">
        <v>23</v>
      </c>
      <c r="K77" s="3" t="s">
        <v>24</v>
      </c>
      <c r="L77" s="3" t="s">
        <v>59</v>
      </c>
      <c r="M77" s="3" t="s">
        <v>26</v>
      </c>
      <c r="N77" s="3" t="s">
        <v>27</v>
      </c>
      <c r="O77" s="19" t="s">
        <v>158</v>
      </c>
    </row>
    <row r="78" spans="1:15">
      <c r="A78" s="3">
        <v>255019856</v>
      </c>
      <c r="B78" s="4">
        <v>46132.220486111102</v>
      </c>
      <c r="C78" s="5">
        <f t="shared" si="4"/>
        <v>46132</v>
      </c>
      <c r="D78" s="3" t="str">
        <f t="shared" si="5"/>
        <v>2026-04</v>
      </c>
      <c r="E78" s="3">
        <f t="shared" si="6"/>
        <v>5</v>
      </c>
      <c r="F78" s="3" t="str">
        <f t="shared" si="7"/>
        <v>الإثنين</v>
      </c>
      <c r="G78" s="3" t="s">
        <v>28</v>
      </c>
      <c r="H78" s="3">
        <v>1</v>
      </c>
      <c r="I78" s="3">
        <v>49</v>
      </c>
      <c r="J78" s="3" t="s">
        <v>23</v>
      </c>
      <c r="K78" s="3" t="s">
        <v>24</v>
      </c>
      <c r="L78" s="3" t="s">
        <v>60</v>
      </c>
      <c r="M78" s="3" t="s">
        <v>26</v>
      </c>
      <c r="N78" s="3" t="s">
        <v>27</v>
      </c>
      <c r="O78" s="19" t="s">
        <v>158</v>
      </c>
    </row>
    <row r="79" spans="1:15">
      <c r="A79" s="3">
        <v>255167134</v>
      </c>
      <c r="B79" s="4">
        <v>46133.220520833303</v>
      </c>
      <c r="C79" s="5">
        <f t="shared" si="4"/>
        <v>46133</v>
      </c>
      <c r="D79" s="3" t="str">
        <f t="shared" si="5"/>
        <v>2026-04</v>
      </c>
      <c r="E79" s="3">
        <f t="shared" si="6"/>
        <v>5</v>
      </c>
      <c r="F79" s="3" t="str">
        <f t="shared" si="7"/>
        <v>الثلاثاء</v>
      </c>
      <c r="G79" s="3" t="s">
        <v>28</v>
      </c>
      <c r="H79" s="3">
        <v>1</v>
      </c>
      <c r="I79" s="3">
        <v>49</v>
      </c>
      <c r="J79" s="3" t="s">
        <v>29</v>
      </c>
      <c r="K79" s="3" t="s">
        <v>24</v>
      </c>
      <c r="L79" s="3" t="s">
        <v>61</v>
      </c>
      <c r="M79" s="3" t="s">
        <v>26</v>
      </c>
      <c r="N79" s="3" t="s">
        <v>27</v>
      </c>
      <c r="O79" s="19" t="s">
        <v>158</v>
      </c>
    </row>
    <row r="80" spans="1:15">
      <c r="A80" s="3">
        <v>255221897</v>
      </c>
      <c r="B80" s="4">
        <v>46133.6886226852</v>
      </c>
      <c r="C80" s="5">
        <f t="shared" si="4"/>
        <v>46133</v>
      </c>
      <c r="D80" s="3" t="str">
        <f t="shared" si="5"/>
        <v>2026-04</v>
      </c>
      <c r="E80" s="3">
        <f t="shared" si="6"/>
        <v>16</v>
      </c>
      <c r="F80" s="3" t="str">
        <f t="shared" si="7"/>
        <v>الثلاثاء</v>
      </c>
      <c r="G80" s="3" t="s">
        <v>28</v>
      </c>
      <c r="H80" s="3">
        <v>1</v>
      </c>
      <c r="I80" s="3">
        <v>49</v>
      </c>
      <c r="J80" s="3" t="s">
        <v>29</v>
      </c>
      <c r="K80" s="3" t="s">
        <v>24</v>
      </c>
      <c r="L80" s="3" t="s">
        <v>25</v>
      </c>
      <c r="M80" s="3" t="s">
        <v>26</v>
      </c>
      <c r="N80" s="3" t="s">
        <v>27</v>
      </c>
      <c r="O80" s="19" t="s">
        <v>158</v>
      </c>
    </row>
    <row r="81" spans="1:15">
      <c r="A81" s="3">
        <v>255866334</v>
      </c>
      <c r="B81" s="4">
        <v>46138.169733796298</v>
      </c>
      <c r="C81" s="5">
        <f t="shared" si="4"/>
        <v>46138</v>
      </c>
      <c r="D81" s="3" t="str">
        <f t="shared" si="5"/>
        <v>2026-04</v>
      </c>
      <c r="E81" s="3">
        <f t="shared" si="6"/>
        <v>4</v>
      </c>
      <c r="F81" s="3" t="str">
        <f t="shared" si="7"/>
        <v>الأحد</v>
      </c>
      <c r="G81" s="3" t="s">
        <v>28</v>
      </c>
      <c r="H81" s="3">
        <v>1</v>
      </c>
      <c r="I81" s="3">
        <v>49</v>
      </c>
      <c r="J81" s="3" t="s">
        <v>62</v>
      </c>
      <c r="K81" s="3" t="s">
        <v>24</v>
      </c>
      <c r="L81" s="3" t="s">
        <v>63</v>
      </c>
      <c r="M81" s="3" t="s">
        <v>26</v>
      </c>
      <c r="N81" s="3" t="s">
        <v>27</v>
      </c>
      <c r="O81" s="19" t="s">
        <v>158</v>
      </c>
    </row>
    <row r="82" spans="1:15">
      <c r="A82" s="3">
        <v>256408722</v>
      </c>
      <c r="B82" s="4">
        <v>46140.570844907401</v>
      </c>
      <c r="C82" s="5">
        <f t="shared" si="4"/>
        <v>46140</v>
      </c>
      <c r="D82" s="3" t="str">
        <f t="shared" si="5"/>
        <v>2026-04</v>
      </c>
      <c r="E82" s="3">
        <f t="shared" si="6"/>
        <v>13</v>
      </c>
      <c r="F82" s="3" t="str">
        <f t="shared" si="7"/>
        <v>الثلاثاء</v>
      </c>
      <c r="G82" s="3" t="s">
        <v>28</v>
      </c>
      <c r="H82" s="3">
        <v>1</v>
      </c>
      <c r="I82" s="3">
        <v>49</v>
      </c>
      <c r="J82" s="3" t="s">
        <v>23</v>
      </c>
      <c r="K82" s="3" t="s">
        <v>24</v>
      </c>
      <c r="L82" s="3" t="s">
        <v>64</v>
      </c>
      <c r="M82" s="3" t="s">
        <v>26</v>
      </c>
      <c r="N82" s="3" t="s">
        <v>27</v>
      </c>
      <c r="O82" s="19" t="s">
        <v>158</v>
      </c>
    </row>
    <row r="83" spans="1:15">
      <c r="A83" s="3">
        <v>257640660</v>
      </c>
      <c r="B83" s="4">
        <v>46145.488854166702</v>
      </c>
      <c r="C83" s="5">
        <f t="shared" si="4"/>
        <v>46145</v>
      </c>
      <c r="D83" s="3" t="str">
        <f t="shared" si="5"/>
        <v>2026-05</v>
      </c>
      <c r="E83" s="3">
        <f t="shared" si="6"/>
        <v>11</v>
      </c>
      <c r="F83" s="3" t="str">
        <f t="shared" si="7"/>
        <v>الأحد</v>
      </c>
      <c r="G83" s="3" t="s">
        <v>28</v>
      </c>
      <c r="H83" s="3">
        <v>1</v>
      </c>
      <c r="I83" s="3">
        <v>49</v>
      </c>
      <c r="J83" s="3" t="s">
        <v>23</v>
      </c>
      <c r="K83" s="3" t="s">
        <v>24</v>
      </c>
      <c r="L83" s="3" t="s">
        <v>30</v>
      </c>
      <c r="M83" s="3" t="s">
        <v>26</v>
      </c>
      <c r="N83" s="3" t="s">
        <v>27</v>
      </c>
      <c r="O83" s="19" t="s">
        <v>158</v>
      </c>
    </row>
    <row r="84" spans="1:15">
      <c r="A84" s="3">
        <v>258237209</v>
      </c>
      <c r="B84" s="4">
        <v>46147.996886574103</v>
      </c>
      <c r="C84" s="5">
        <f t="shared" si="4"/>
        <v>46147</v>
      </c>
      <c r="D84" s="3" t="str">
        <f t="shared" si="5"/>
        <v>2026-05</v>
      </c>
      <c r="E84" s="3">
        <f t="shared" si="6"/>
        <v>23</v>
      </c>
      <c r="F84" s="3" t="str">
        <f t="shared" si="7"/>
        <v>الثلاثاء</v>
      </c>
      <c r="G84" s="3" t="s">
        <v>28</v>
      </c>
      <c r="H84" s="3">
        <v>1</v>
      </c>
      <c r="I84" s="3">
        <v>49</v>
      </c>
      <c r="J84" s="3" t="s">
        <v>23</v>
      </c>
      <c r="K84" s="3" t="s">
        <v>24</v>
      </c>
      <c r="L84" s="3" t="s">
        <v>44</v>
      </c>
      <c r="M84" s="3" t="s">
        <v>26</v>
      </c>
      <c r="N84" s="3" t="s">
        <v>27</v>
      </c>
      <c r="O84" s="19" t="s">
        <v>158</v>
      </c>
    </row>
    <row r="85" spans="1:15">
      <c r="A85" s="3">
        <v>258281061</v>
      </c>
      <c r="B85" s="4">
        <v>46148.275428240697</v>
      </c>
      <c r="C85" s="5">
        <f t="shared" si="4"/>
        <v>46148</v>
      </c>
      <c r="D85" s="3" t="str">
        <f t="shared" si="5"/>
        <v>2026-05</v>
      </c>
      <c r="E85" s="3">
        <f t="shared" si="6"/>
        <v>6</v>
      </c>
      <c r="F85" s="3" t="str">
        <f t="shared" si="7"/>
        <v>الأربعاء</v>
      </c>
      <c r="G85" s="3" t="s">
        <v>28</v>
      </c>
      <c r="H85" s="3">
        <v>1</v>
      </c>
      <c r="I85" s="3">
        <v>49</v>
      </c>
      <c r="J85" s="3" t="s">
        <v>23</v>
      </c>
      <c r="K85" s="3" t="s">
        <v>24</v>
      </c>
      <c r="L85" s="3" t="s">
        <v>33</v>
      </c>
      <c r="M85" s="3" t="s">
        <v>26</v>
      </c>
      <c r="N85" s="3" t="s">
        <v>27</v>
      </c>
      <c r="O85" s="19" t="s">
        <v>158</v>
      </c>
    </row>
    <row r="86" spans="1:15">
      <c r="A86" s="3">
        <v>258292042</v>
      </c>
      <c r="B86" s="4">
        <v>46148.363148148201</v>
      </c>
      <c r="C86" s="5">
        <f t="shared" si="4"/>
        <v>46148</v>
      </c>
      <c r="D86" s="3" t="str">
        <f t="shared" si="5"/>
        <v>2026-05</v>
      </c>
      <c r="E86" s="3">
        <f t="shared" si="6"/>
        <v>8</v>
      </c>
      <c r="F86" s="3" t="str">
        <f t="shared" si="7"/>
        <v>الأربعاء</v>
      </c>
      <c r="G86" s="3" t="s">
        <v>28</v>
      </c>
      <c r="H86" s="3">
        <v>1</v>
      </c>
      <c r="I86" s="3">
        <v>49</v>
      </c>
      <c r="J86" s="3" t="s">
        <v>29</v>
      </c>
      <c r="K86" s="3" t="s">
        <v>24</v>
      </c>
      <c r="L86" s="3" t="s">
        <v>65</v>
      </c>
      <c r="M86" s="3" t="s">
        <v>26</v>
      </c>
      <c r="N86" s="3" t="s">
        <v>27</v>
      </c>
      <c r="O86" s="19" t="s">
        <v>158</v>
      </c>
    </row>
    <row r="87" spans="1:15">
      <c r="A87" s="3">
        <v>258310313</v>
      </c>
      <c r="B87" s="4">
        <v>46148.483310185198</v>
      </c>
      <c r="C87" s="5">
        <f t="shared" si="4"/>
        <v>46148</v>
      </c>
      <c r="D87" s="3" t="str">
        <f t="shared" si="5"/>
        <v>2026-05</v>
      </c>
      <c r="E87" s="3">
        <f t="shared" si="6"/>
        <v>11</v>
      </c>
      <c r="F87" s="3" t="str">
        <f t="shared" si="7"/>
        <v>الأربعاء</v>
      </c>
      <c r="G87" s="3" t="s">
        <v>28</v>
      </c>
      <c r="H87" s="3">
        <v>1</v>
      </c>
      <c r="I87" s="3">
        <v>49</v>
      </c>
      <c r="J87" s="3" t="s">
        <v>29</v>
      </c>
      <c r="K87" s="3" t="s">
        <v>24</v>
      </c>
      <c r="L87" s="3" t="s">
        <v>30</v>
      </c>
      <c r="M87" s="3" t="s">
        <v>26</v>
      </c>
      <c r="N87" s="3" t="s">
        <v>27</v>
      </c>
      <c r="O87" s="19" t="s">
        <v>158</v>
      </c>
    </row>
    <row r="88" spans="1:15">
      <c r="A88" s="3">
        <v>258311892</v>
      </c>
      <c r="B88" s="4">
        <v>46148.491967592599</v>
      </c>
      <c r="C88" s="5">
        <f t="shared" si="4"/>
        <v>46148</v>
      </c>
      <c r="D88" s="3" t="str">
        <f t="shared" si="5"/>
        <v>2026-05</v>
      </c>
      <c r="E88" s="3">
        <f t="shared" si="6"/>
        <v>11</v>
      </c>
      <c r="F88" s="3" t="str">
        <f t="shared" si="7"/>
        <v>الأربعاء</v>
      </c>
      <c r="G88" s="3" t="s">
        <v>28</v>
      </c>
      <c r="H88" s="3">
        <v>1</v>
      </c>
      <c r="I88" s="3">
        <v>49</v>
      </c>
      <c r="J88" s="3" t="s">
        <v>66</v>
      </c>
      <c r="K88" s="3" t="s">
        <v>24</v>
      </c>
      <c r="L88" s="3" t="s">
        <v>25</v>
      </c>
      <c r="M88" s="3" t="s">
        <v>26</v>
      </c>
      <c r="N88" s="3" t="s">
        <v>27</v>
      </c>
      <c r="O88" s="19" t="s">
        <v>157</v>
      </c>
    </row>
    <row r="89" spans="1:15">
      <c r="A89" s="3">
        <v>258334597</v>
      </c>
      <c r="B89" s="4">
        <v>46148.600069444401</v>
      </c>
      <c r="C89" s="5">
        <f t="shared" si="4"/>
        <v>46148</v>
      </c>
      <c r="D89" s="3" t="str">
        <f t="shared" si="5"/>
        <v>2026-05</v>
      </c>
      <c r="E89" s="3">
        <f t="shared" si="6"/>
        <v>14</v>
      </c>
      <c r="F89" s="3" t="str">
        <f t="shared" si="7"/>
        <v>الأربعاء</v>
      </c>
      <c r="G89" s="3" t="s">
        <v>28</v>
      </c>
      <c r="H89" s="3">
        <v>1</v>
      </c>
      <c r="I89" s="3">
        <v>49</v>
      </c>
      <c r="J89" s="3" t="s">
        <v>23</v>
      </c>
      <c r="K89" s="3" t="s">
        <v>24</v>
      </c>
      <c r="L89" s="3" t="s">
        <v>43</v>
      </c>
      <c r="M89" s="3" t="s">
        <v>26</v>
      </c>
      <c r="N89" s="3" t="s">
        <v>27</v>
      </c>
      <c r="O89" s="19" t="s">
        <v>158</v>
      </c>
    </row>
    <row r="90" spans="1:15">
      <c r="A90" s="3">
        <v>258349458</v>
      </c>
      <c r="B90" s="4">
        <v>46148.663194444503</v>
      </c>
      <c r="C90" s="5">
        <f t="shared" si="4"/>
        <v>46148</v>
      </c>
      <c r="D90" s="3" t="str">
        <f t="shared" si="5"/>
        <v>2026-05</v>
      </c>
      <c r="E90" s="3">
        <f t="shared" si="6"/>
        <v>15</v>
      </c>
      <c r="F90" s="3" t="str">
        <f t="shared" si="7"/>
        <v>الأربعاء</v>
      </c>
      <c r="G90" s="3" t="s">
        <v>28</v>
      </c>
      <c r="H90" s="3">
        <v>1</v>
      </c>
      <c r="I90" s="3">
        <v>49</v>
      </c>
      <c r="J90" s="3" t="s">
        <v>23</v>
      </c>
      <c r="K90" s="3" t="s">
        <v>24</v>
      </c>
      <c r="L90" s="3" t="s">
        <v>30</v>
      </c>
      <c r="M90" s="3" t="s">
        <v>26</v>
      </c>
      <c r="N90" s="3" t="s">
        <v>27</v>
      </c>
      <c r="O90" s="19" t="s">
        <v>158</v>
      </c>
    </row>
    <row r="91" spans="1:15">
      <c r="A91" s="3">
        <v>258407655</v>
      </c>
      <c r="B91" s="4">
        <v>46148.876365740703</v>
      </c>
      <c r="C91" s="5">
        <f t="shared" si="4"/>
        <v>46148</v>
      </c>
      <c r="D91" s="3" t="str">
        <f t="shared" si="5"/>
        <v>2026-05</v>
      </c>
      <c r="E91" s="3">
        <f t="shared" si="6"/>
        <v>21</v>
      </c>
      <c r="F91" s="3" t="str">
        <f t="shared" si="7"/>
        <v>الأربعاء</v>
      </c>
      <c r="G91" s="3" t="s">
        <v>28</v>
      </c>
      <c r="H91" s="3">
        <v>1</v>
      </c>
      <c r="I91" s="3">
        <v>49</v>
      </c>
      <c r="J91" s="3" t="s">
        <v>62</v>
      </c>
      <c r="K91" s="3" t="s">
        <v>24</v>
      </c>
      <c r="L91" s="3" t="s">
        <v>33</v>
      </c>
      <c r="M91" s="3" t="s">
        <v>26</v>
      </c>
      <c r="N91" s="3" t="s">
        <v>27</v>
      </c>
      <c r="O91" s="19" t="s">
        <v>158</v>
      </c>
    </row>
    <row r="92" spans="1:15">
      <c r="A92" s="3">
        <v>258465402</v>
      </c>
      <c r="B92" s="4">
        <v>46149.094722222202</v>
      </c>
      <c r="C92" s="5">
        <f t="shared" si="4"/>
        <v>46149</v>
      </c>
      <c r="D92" s="3" t="str">
        <f t="shared" si="5"/>
        <v>2026-05</v>
      </c>
      <c r="E92" s="3">
        <f t="shared" si="6"/>
        <v>2</v>
      </c>
      <c r="F92" s="3" t="str">
        <f t="shared" si="7"/>
        <v>الخميس</v>
      </c>
      <c r="G92" s="3" t="s">
        <v>28</v>
      </c>
      <c r="H92" s="3">
        <v>1</v>
      </c>
      <c r="I92" s="3">
        <v>49</v>
      </c>
      <c r="J92" s="3" t="s">
        <v>29</v>
      </c>
      <c r="K92" s="3" t="s">
        <v>24</v>
      </c>
      <c r="L92" s="3" t="s">
        <v>43</v>
      </c>
      <c r="M92" s="3" t="s">
        <v>26</v>
      </c>
      <c r="N92" s="3" t="s">
        <v>27</v>
      </c>
      <c r="O92" s="19" t="s">
        <v>158</v>
      </c>
    </row>
    <row r="93" spans="1:15">
      <c r="A93" s="3">
        <v>258539641</v>
      </c>
      <c r="B93" s="4">
        <v>46149.612060185202</v>
      </c>
      <c r="C93" s="5">
        <f t="shared" si="4"/>
        <v>46149</v>
      </c>
      <c r="D93" s="3" t="str">
        <f t="shared" si="5"/>
        <v>2026-05</v>
      </c>
      <c r="E93" s="3">
        <f t="shared" si="6"/>
        <v>14</v>
      </c>
      <c r="F93" s="3" t="str">
        <f t="shared" si="7"/>
        <v>الخميس</v>
      </c>
      <c r="G93" s="3" t="s">
        <v>28</v>
      </c>
      <c r="H93" s="3">
        <v>1</v>
      </c>
      <c r="I93" s="3">
        <v>49</v>
      </c>
      <c r="J93" s="3" t="s">
        <v>23</v>
      </c>
      <c r="K93" s="3" t="s">
        <v>24</v>
      </c>
      <c r="L93" s="3" t="s">
        <v>67</v>
      </c>
      <c r="M93" s="3" t="s">
        <v>26</v>
      </c>
      <c r="N93" s="3" t="s">
        <v>27</v>
      </c>
      <c r="O93" s="19" t="s">
        <v>158</v>
      </c>
    </row>
    <row r="94" spans="1:15">
      <c r="A94" s="3">
        <v>258545800</v>
      </c>
      <c r="B94" s="4">
        <v>46149.639942129601</v>
      </c>
      <c r="C94" s="5">
        <f t="shared" si="4"/>
        <v>46149</v>
      </c>
      <c r="D94" s="3" t="str">
        <f t="shared" si="5"/>
        <v>2026-05</v>
      </c>
      <c r="E94" s="3">
        <f t="shared" si="6"/>
        <v>15</v>
      </c>
      <c r="F94" s="3" t="str">
        <f t="shared" si="7"/>
        <v>الخميس</v>
      </c>
      <c r="G94" s="3" t="s">
        <v>28</v>
      </c>
      <c r="H94" s="3">
        <v>1</v>
      </c>
      <c r="I94" s="3">
        <v>49</v>
      </c>
      <c r="J94" s="3" t="s">
        <v>23</v>
      </c>
      <c r="K94" s="3" t="s">
        <v>24</v>
      </c>
      <c r="L94" s="3" t="s">
        <v>43</v>
      </c>
      <c r="M94" s="3" t="s">
        <v>26</v>
      </c>
      <c r="N94" s="3" t="s">
        <v>27</v>
      </c>
      <c r="O94" s="19" t="s">
        <v>158</v>
      </c>
    </row>
    <row r="95" spans="1:15">
      <c r="A95" s="3">
        <v>258547502</v>
      </c>
      <c r="B95" s="4">
        <v>46149.647696759297</v>
      </c>
      <c r="C95" s="5">
        <f t="shared" si="4"/>
        <v>46149</v>
      </c>
      <c r="D95" s="3" t="str">
        <f t="shared" si="5"/>
        <v>2026-05</v>
      </c>
      <c r="E95" s="3">
        <f t="shared" si="6"/>
        <v>15</v>
      </c>
      <c r="F95" s="3" t="str">
        <f t="shared" si="7"/>
        <v>الخميس</v>
      </c>
      <c r="G95" s="3" t="s">
        <v>28</v>
      </c>
      <c r="H95" s="3">
        <v>1</v>
      </c>
      <c r="I95" s="3">
        <v>49</v>
      </c>
      <c r="J95" s="3" t="s">
        <v>23</v>
      </c>
      <c r="K95" s="3" t="s">
        <v>24</v>
      </c>
      <c r="L95" s="3" t="s">
        <v>30</v>
      </c>
      <c r="M95" s="3" t="s">
        <v>26</v>
      </c>
      <c r="N95" s="3" t="s">
        <v>27</v>
      </c>
      <c r="O95" s="19" t="s">
        <v>158</v>
      </c>
    </row>
    <row r="96" spans="1:15">
      <c r="A96" s="3">
        <v>258592653</v>
      </c>
      <c r="B96" s="4">
        <v>46149.839432870402</v>
      </c>
      <c r="C96" s="5">
        <f t="shared" si="4"/>
        <v>46149</v>
      </c>
      <c r="D96" s="3" t="str">
        <f t="shared" si="5"/>
        <v>2026-05</v>
      </c>
      <c r="E96" s="3">
        <f t="shared" si="6"/>
        <v>20</v>
      </c>
      <c r="F96" s="3" t="str">
        <f t="shared" si="7"/>
        <v>الخميس</v>
      </c>
      <c r="G96" s="3" t="s">
        <v>28</v>
      </c>
      <c r="H96" s="3">
        <v>1</v>
      </c>
      <c r="I96" s="3">
        <v>49</v>
      </c>
      <c r="J96" s="3" t="s">
        <v>29</v>
      </c>
      <c r="K96" s="3" t="s">
        <v>24</v>
      </c>
      <c r="L96" s="3" t="s">
        <v>30</v>
      </c>
      <c r="M96" s="3" t="s">
        <v>26</v>
      </c>
      <c r="N96" s="3" t="s">
        <v>27</v>
      </c>
      <c r="O96" s="19" t="s">
        <v>158</v>
      </c>
    </row>
    <row r="97" spans="1:15">
      <c r="A97" s="3">
        <v>258637334</v>
      </c>
      <c r="B97" s="4">
        <v>46150.026863425897</v>
      </c>
      <c r="C97" s="5">
        <f t="shared" si="4"/>
        <v>46150</v>
      </c>
      <c r="D97" s="3" t="str">
        <f t="shared" si="5"/>
        <v>2026-05</v>
      </c>
      <c r="E97" s="3">
        <f t="shared" si="6"/>
        <v>0</v>
      </c>
      <c r="F97" s="3" t="str">
        <f t="shared" si="7"/>
        <v>الجمعة</v>
      </c>
      <c r="G97" s="3" t="s">
        <v>68</v>
      </c>
      <c r="H97" s="3">
        <v>1</v>
      </c>
      <c r="I97" s="3">
        <v>49</v>
      </c>
      <c r="J97" s="3" t="s">
        <v>23</v>
      </c>
      <c r="K97" s="3" t="s">
        <v>24</v>
      </c>
      <c r="L97" s="3" t="s">
        <v>37</v>
      </c>
      <c r="M97" s="3" t="s">
        <v>26</v>
      </c>
      <c r="N97" s="3" t="s">
        <v>27</v>
      </c>
      <c r="O97" s="19" t="s">
        <v>158</v>
      </c>
    </row>
    <row r="98" spans="1:15">
      <c r="A98" s="3">
        <v>258637334</v>
      </c>
      <c r="B98" s="4">
        <v>46150.026863425897</v>
      </c>
      <c r="C98" s="5">
        <f t="shared" si="4"/>
        <v>46150</v>
      </c>
      <c r="D98" s="3" t="str">
        <f t="shared" si="5"/>
        <v>2026-05</v>
      </c>
      <c r="E98" s="3">
        <f t="shared" si="6"/>
        <v>0</v>
      </c>
      <c r="F98" s="3" t="str">
        <f t="shared" si="7"/>
        <v>الجمعة</v>
      </c>
      <c r="G98" s="3" t="s">
        <v>28</v>
      </c>
      <c r="H98" s="3">
        <v>1</v>
      </c>
      <c r="I98" s="3">
        <v>49</v>
      </c>
      <c r="J98" s="3" t="s">
        <v>23</v>
      </c>
      <c r="K98" s="3" t="s">
        <v>24</v>
      </c>
      <c r="L98" s="3" t="s">
        <v>37</v>
      </c>
      <c r="M98" s="3" t="s">
        <v>26</v>
      </c>
      <c r="N98" s="3" t="s">
        <v>27</v>
      </c>
      <c r="O98" s="19" t="s">
        <v>158</v>
      </c>
    </row>
    <row r="99" spans="1:15">
      <c r="A99" s="3">
        <v>258637334</v>
      </c>
      <c r="B99" s="4">
        <v>46150.026863425897</v>
      </c>
      <c r="C99" s="5">
        <f t="shared" si="4"/>
        <v>46150</v>
      </c>
      <c r="D99" s="3" t="str">
        <f t="shared" si="5"/>
        <v>2026-05</v>
      </c>
      <c r="E99" s="3">
        <f t="shared" si="6"/>
        <v>0</v>
      </c>
      <c r="F99" s="3" t="str">
        <f t="shared" si="7"/>
        <v>الجمعة</v>
      </c>
      <c r="G99" s="3" t="s">
        <v>69</v>
      </c>
      <c r="H99" s="3">
        <v>1</v>
      </c>
      <c r="I99" s="3">
        <v>49</v>
      </c>
      <c r="J99" s="3" t="s">
        <v>23</v>
      </c>
      <c r="K99" s="3" t="s">
        <v>24</v>
      </c>
      <c r="L99" s="3" t="s">
        <v>37</v>
      </c>
      <c r="M99" s="3" t="s">
        <v>26</v>
      </c>
      <c r="N99" s="3" t="s">
        <v>27</v>
      </c>
      <c r="O99" s="19" t="s">
        <v>158</v>
      </c>
    </row>
    <row r="100" spans="1:15">
      <c r="A100" s="3">
        <v>258638072</v>
      </c>
      <c r="B100" s="4">
        <v>46150.0301273148</v>
      </c>
      <c r="C100" s="5">
        <f t="shared" si="4"/>
        <v>46150</v>
      </c>
      <c r="D100" s="3" t="str">
        <f t="shared" si="5"/>
        <v>2026-05</v>
      </c>
      <c r="E100" s="3">
        <f t="shared" si="6"/>
        <v>0</v>
      </c>
      <c r="F100" s="3" t="str">
        <f t="shared" si="7"/>
        <v>الجمعة</v>
      </c>
      <c r="G100" s="3" t="s">
        <v>69</v>
      </c>
      <c r="H100" s="3">
        <v>1</v>
      </c>
      <c r="I100" s="3">
        <v>49</v>
      </c>
      <c r="J100" s="3" t="s">
        <v>23</v>
      </c>
      <c r="K100" s="3" t="s">
        <v>24</v>
      </c>
      <c r="L100" s="3" t="s">
        <v>70</v>
      </c>
      <c r="M100" s="3" t="s">
        <v>26</v>
      </c>
      <c r="N100" s="3" t="s">
        <v>27</v>
      </c>
      <c r="O100" s="19" t="s">
        <v>158</v>
      </c>
    </row>
    <row r="101" spans="1:15">
      <c r="A101" s="3">
        <v>258638072</v>
      </c>
      <c r="B101" s="4">
        <v>46150.0301273148</v>
      </c>
      <c r="C101" s="5">
        <f t="shared" si="4"/>
        <v>46150</v>
      </c>
      <c r="D101" s="3" t="str">
        <f t="shared" si="5"/>
        <v>2026-05</v>
      </c>
      <c r="E101" s="3">
        <f t="shared" si="6"/>
        <v>0</v>
      </c>
      <c r="F101" s="3" t="str">
        <f t="shared" si="7"/>
        <v>الجمعة</v>
      </c>
      <c r="G101" s="3" t="s">
        <v>28</v>
      </c>
      <c r="H101" s="3">
        <v>1</v>
      </c>
      <c r="I101" s="3">
        <v>49</v>
      </c>
      <c r="J101" s="3" t="s">
        <v>23</v>
      </c>
      <c r="K101" s="3" t="s">
        <v>24</v>
      </c>
      <c r="L101" s="3" t="s">
        <v>70</v>
      </c>
      <c r="M101" s="3" t="s">
        <v>26</v>
      </c>
      <c r="N101" s="3" t="s">
        <v>27</v>
      </c>
      <c r="O101" s="19" t="s">
        <v>158</v>
      </c>
    </row>
    <row r="102" spans="1:15">
      <c r="A102" s="3">
        <v>258638072</v>
      </c>
      <c r="B102" s="4">
        <v>46150.0301273148</v>
      </c>
      <c r="C102" s="5">
        <f t="shared" si="4"/>
        <v>46150</v>
      </c>
      <c r="D102" s="3" t="str">
        <f t="shared" si="5"/>
        <v>2026-05</v>
      </c>
      <c r="E102" s="3">
        <f t="shared" si="6"/>
        <v>0</v>
      </c>
      <c r="F102" s="3" t="str">
        <f t="shared" si="7"/>
        <v>الجمعة</v>
      </c>
      <c r="G102" s="3" t="s">
        <v>68</v>
      </c>
      <c r="H102" s="3">
        <v>1</v>
      </c>
      <c r="I102" s="3">
        <v>49</v>
      </c>
      <c r="J102" s="3" t="s">
        <v>23</v>
      </c>
      <c r="K102" s="3" t="s">
        <v>24</v>
      </c>
      <c r="L102" s="3" t="s">
        <v>70</v>
      </c>
      <c r="M102" s="3" t="s">
        <v>26</v>
      </c>
      <c r="N102" s="3" t="s">
        <v>27</v>
      </c>
      <c r="O102" s="19" t="s">
        <v>158</v>
      </c>
    </row>
    <row r="103" spans="1:15">
      <c r="A103" s="3">
        <v>258642196</v>
      </c>
      <c r="B103" s="4">
        <v>46150.049456018503</v>
      </c>
      <c r="C103" s="5">
        <f t="shared" si="4"/>
        <v>46150</v>
      </c>
      <c r="D103" s="3" t="str">
        <f t="shared" si="5"/>
        <v>2026-05</v>
      </c>
      <c r="E103" s="3">
        <f t="shared" si="6"/>
        <v>1</v>
      </c>
      <c r="F103" s="3" t="str">
        <f t="shared" si="7"/>
        <v>الجمعة</v>
      </c>
      <c r="G103" s="3" t="s">
        <v>28</v>
      </c>
      <c r="H103" s="3">
        <v>1</v>
      </c>
      <c r="I103" s="3">
        <v>49</v>
      </c>
      <c r="J103" s="3" t="s">
        <v>23</v>
      </c>
      <c r="K103" s="3" t="s">
        <v>24</v>
      </c>
      <c r="L103" s="3" t="s">
        <v>30</v>
      </c>
      <c r="M103" s="3" t="s">
        <v>26</v>
      </c>
      <c r="N103" s="3" t="s">
        <v>27</v>
      </c>
      <c r="O103" s="19" t="s">
        <v>158</v>
      </c>
    </row>
    <row r="104" spans="1:15">
      <c r="A104" s="3">
        <v>258657528</v>
      </c>
      <c r="B104" s="4">
        <v>46150.137129629598</v>
      </c>
      <c r="C104" s="5">
        <f t="shared" si="4"/>
        <v>46150</v>
      </c>
      <c r="D104" s="3" t="str">
        <f t="shared" si="5"/>
        <v>2026-05</v>
      </c>
      <c r="E104" s="3">
        <f t="shared" si="6"/>
        <v>3</v>
      </c>
      <c r="F104" s="3" t="str">
        <f t="shared" si="7"/>
        <v>الجمعة</v>
      </c>
      <c r="G104" s="3" t="s">
        <v>68</v>
      </c>
      <c r="H104" s="3">
        <v>1</v>
      </c>
      <c r="I104" s="3">
        <v>49</v>
      </c>
      <c r="J104" s="3" t="s">
        <v>23</v>
      </c>
      <c r="K104" s="3" t="s">
        <v>24</v>
      </c>
      <c r="L104" s="3" t="s">
        <v>30</v>
      </c>
      <c r="M104" s="3" t="s">
        <v>26</v>
      </c>
      <c r="N104" s="3" t="s">
        <v>27</v>
      </c>
      <c r="O104" s="19" t="s">
        <v>158</v>
      </c>
    </row>
    <row r="105" spans="1:15">
      <c r="A105" s="3">
        <v>258657528</v>
      </c>
      <c r="B105" s="4">
        <v>46150.137129629598</v>
      </c>
      <c r="C105" s="5">
        <f t="shared" si="4"/>
        <v>46150</v>
      </c>
      <c r="D105" s="3" t="str">
        <f t="shared" si="5"/>
        <v>2026-05</v>
      </c>
      <c r="E105" s="3">
        <f t="shared" si="6"/>
        <v>3</v>
      </c>
      <c r="F105" s="3" t="str">
        <f t="shared" si="7"/>
        <v>الجمعة</v>
      </c>
      <c r="G105" s="3" t="s">
        <v>69</v>
      </c>
      <c r="H105" s="3">
        <v>1</v>
      </c>
      <c r="I105" s="3">
        <v>49</v>
      </c>
      <c r="J105" s="3" t="s">
        <v>23</v>
      </c>
      <c r="K105" s="3" t="s">
        <v>24</v>
      </c>
      <c r="L105" s="3" t="s">
        <v>30</v>
      </c>
      <c r="M105" s="3" t="s">
        <v>26</v>
      </c>
      <c r="N105" s="3" t="s">
        <v>27</v>
      </c>
      <c r="O105" s="19" t="s">
        <v>158</v>
      </c>
    </row>
    <row r="106" spans="1:15">
      <c r="A106" s="3">
        <v>258657528</v>
      </c>
      <c r="B106" s="4">
        <v>46150.137129629598</v>
      </c>
      <c r="C106" s="5">
        <f t="shared" si="4"/>
        <v>46150</v>
      </c>
      <c r="D106" s="3" t="str">
        <f t="shared" si="5"/>
        <v>2026-05</v>
      </c>
      <c r="E106" s="3">
        <f t="shared" si="6"/>
        <v>3</v>
      </c>
      <c r="F106" s="3" t="str">
        <f t="shared" si="7"/>
        <v>الجمعة</v>
      </c>
      <c r="G106" s="3" t="s">
        <v>28</v>
      </c>
      <c r="H106" s="3">
        <v>1</v>
      </c>
      <c r="I106" s="3">
        <v>49</v>
      </c>
      <c r="J106" s="3" t="s">
        <v>23</v>
      </c>
      <c r="K106" s="3" t="s">
        <v>24</v>
      </c>
      <c r="L106" s="3" t="s">
        <v>30</v>
      </c>
      <c r="M106" s="3" t="s">
        <v>26</v>
      </c>
      <c r="N106" s="3" t="s">
        <v>27</v>
      </c>
      <c r="O106" s="19" t="s">
        <v>158</v>
      </c>
    </row>
    <row r="107" spans="1:15">
      <c r="A107" s="3">
        <v>258661382</v>
      </c>
      <c r="B107" s="4">
        <v>46150.166597222204</v>
      </c>
      <c r="C107" s="5">
        <f t="shared" si="4"/>
        <v>46150</v>
      </c>
      <c r="D107" s="3" t="str">
        <f t="shared" si="5"/>
        <v>2026-05</v>
      </c>
      <c r="E107" s="3">
        <f t="shared" si="6"/>
        <v>3</v>
      </c>
      <c r="F107" s="3" t="str">
        <f t="shared" si="7"/>
        <v>الجمعة</v>
      </c>
      <c r="G107" s="3" t="s">
        <v>28</v>
      </c>
      <c r="H107" s="3">
        <v>1</v>
      </c>
      <c r="I107" s="3">
        <v>49</v>
      </c>
      <c r="J107" s="3" t="s">
        <v>62</v>
      </c>
      <c r="K107" s="3" t="s">
        <v>24</v>
      </c>
      <c r="L107" s="3" t="s">
        <v>71</v>
      </c>
      <c r="M107" s="3" t="s">
        <v>26</v>
      </c>
      <c r="N107" s="3" t="s">
        <v>27</v>
      </c>
      <c r="O107" s="19" t="s">
        <v>158</v>
      </c>
    </row>
    <row r="108" spans="1:15">
      <c r="A108" s="3">
        <v>258667830</v>
      </c>
      <c r="B108" s="4">
        <v>46150.229097222204</v>
      </c>
      <c r="C108" s="5">
        <f t="shared" si="4"/>
        <v>46150</v>
      </c>
      <c r="D108" s="3" t="str">
        <f t="shared" si="5"/>
        <v>2026-05</v>
      </c>
      <c r="E108" s="3">
        <f t="shared" si="6"/>
        <v>5</v>
      </c>
      <c r="F108" s="3" t="str">
        <f t="shared" si="7"/>
        <v>الجمعة</v>
      </c>
      <c r="G108" s="3" t="s">
        <v>69</v>
      </c>
      <c r="H108" s="3">
        <v>1</v>
      </c>
      <c r="I108" s="3">
        <v>49</v>
      </c>
      <c r="J108" s="3" t="s">
        <v>23</v>
      </c>
      <c r="K108" s="3" t="s">
        <v>24</v>
      </c>
      <c r="L108" s="3" t="s">
        <v>74</v>
      </c>
      <c r="M108" s="3" t="s">
        <v>26</v>
      </c>
      <c r="N108" s="3" t="s">
        <v>27</v>
      </c>
      <c r="O108" s="19" t="s">
        <v>158</v>
      </c>
    </row>
    <row r="109" spans="1:15">
      <c r="A109" s="3">
        <v>258667830</v>
      </c>
      <c r="B109" s="4">
        <v>46150.229097222204</v>
      </c>
      <c r="C109" s="5">
        <f t="shared" si="4"/>
        <v>46150</v>
      </c>
      <c r="D109" s="3" t="str">
        <f t="shared" si="5"/>
        <v>2026-05</v>
      </c>
      <c r="E109" s="3">
        <f t="shared" si="6"/>
        <v>5</v>
      </c>
      <c r="F109" s="3" t="str">
        <f t="shared" si="7"/>
        <v>الجمعة</v>
      </c>
      <c r="G109" s="3" t="s">
        <v>28</v>
      </c>
      <c r="H109" s="3">
        <v>1</v>
      </c>
      <c r="I109" s="3">
        <v>49</v>
      </c>
      <c r="J109" s="3" t="s">
        <v>23</v>
      </c>
      <c r="K109" s="3" t="s">
        <v>24</v>
      </c>
      <c r="L109" s="3" t="s">
        <v>74</v>
      </c>
      <c r="M109" s="3" t="s">
        <v>26</v>
      </c>
      <c r="N109" s="3" t="s">
        <v>27</v>
      </c>
      <c r="O109" s="19" t="s">
        <v>158</v>
      </c>
    </row>
    <row r="110" spans="1:15">
      <c r="A110" s="3">
        <v>258667830</v>
      </c>
      <c r="B110" s="4">
        <v>46150.229097222204</v>
      </c>
      <c r="C110" s="5">
        <f t="shared" si="4"/>
        <v>46150</v>
      </c>
      <c r="D110" s="3" t="str">
        <f t="shared" si="5"/>
        <v>2026-05</v>
      </c>
      <c r="E110" s="3">
        <f t="shared" si="6"/>
        <v>5</v>
      </c>
      <c r="F110" s="3" t="str">
        <f t="shared" si="7"/>
        <v>الجمعة</v>
      </c>
      <c r="G110" s="3" t="s">
        <v>68</v>
      </c>
      <c r="H110" s="3">
        <v>1</v>
      </c>
      <c r="I110" s="3">
        <v>49</v>
      </c>
      <c r="J110" s="3" t="s">
        <v>23</v>
      </c>
      <c r="K110" s="3" t="s">
        <v>24</v>
      </c>
      <c r="L110" s="3" t="s">
        <v>74</v>
      </c>
      <c r="M110" s="3" t="s">
        <v>26</v>
      </c>
      <c r="N110" s="3" t="s">
        <v>27</v>
      </c>
      <c r="O110" s="19" t="s">
        <v>158</v>
      </c>
    </row>
    <row r="111" spans="1:15">
      <c r="A111" s="3">
        <v>258674524</v>
      </c>
      <c r="B111" s="4">
        <v>46150.317430555602</v>
      </c>
      <c r="C111" s="5">
        <f t="shared" si="4"/>
        <v>46150</v>
      </c>
      <c r="D111" s="3" t="str">
        <f t="shared" si="5"/>
        <v>2026-05</v>
      </c>
      <c r="E111" s="3">
        <f t="shared" si="6"/>
        <v>7</v>
      </c>
      <c r="F111" s="3" t="str">
        <f t="shared" si="7"/>
        <v>الجمعة</v>
      </c>
      <c r="G111" s="3" t="s">
        <v>68</v>
      </c>
      <c r="H111" s="3">
        <v>1</v>
      </c>
      <c r="I111" s="3">
        <v>49</v>
      </c>
      <c r="J111" s="3" t="s">
        <v>23</v>
      </c>
      <c r="K111" s="3" t="s">
        <v>24</v>
      </c>
      <c r="L111" s="3" t="s">
        <v>30</v>
      </c>
      <c r="M111" s="3" t="s">
        <v>26</v>
      </c>
      <c r="N111" s="3" t="s">
        <v>27</v>
      </c>
      <c r="O111" s="19" t="s">
        <v>158</v>
      </c>
    </row>
    <row r="112" spans="1:15">
      <c r="A112" s="3">
        <v>258674524</v>
      </c>
      <c r="B112" s="4">
        <v>46150.317430555602</v>
      </c>
      <c r="C112" s="5">
        <f t="shared" si="4"/>
        <v>46150</v>
      </c>
      <c r="D112" s="3" t="str">
        <f t="shared" si="5"/>
        <v>2026-05</v>
      </c>
      <c r="E112" s="3">
        <f t="shared" si="6"/>
        <v>7</v>
      </c>
      <c r="F112" s="3" t="str">
        <f t="shared" si="7"/>
        <v>الجمعة</v>
      </c>
      <c r="G112" s="3" t="s">
        <v>28</v>
      </c>
      <c r="H112" s="3">
        <v>1</v>
      </c>
      <c r="I112" s="3">
        <v>49</v>
      </c>
      <c r="J112" s="3" t="s">
        <v>23</v>
      </c>
      <c r="K112" s="3" t="s">
        <v>24</v>
      </c>
      <c r="L112" s="3" t="s">
        <v>30</v>
      </c>
      <c r="M112" s="3" t="s">
        <v>26</v>
      </c>
      <c r="N112" s="3" t="s">
        <v>27</v>
      </c>
      <c r="O112" s="19" t="s">
        <v>158</v>
      </c>
    </row>
    <row r="113" spans="1:15">
      <c r="A113" s="3">
        <v>258687224</v>
      </c>
      <c r="B113" s="4">
        <v>46150.457187499997</v>
      </c>
      <c r="C113" s="5">
        <f t="shared" si="4"/>
        <v>46150</v>
      </c>
      <c r="D113" s="3" t="str">
        <f t="shared" si="5"/>
        <v>2026-05</v>
      </c>
      <c r="E113" s="3">
        <f t="shared" si="6"/>
        <v>10</v>
      </c>
      <c r="F113" s="3" t="str">
        <f t="shared" si="7"/>
        <v>الجمعة</v>
      </c>
      <c r="G113" s="3" t="s">
        <v>28</v>
      </c>
      <c r="H113" s="3">
        <v>1</v>
      </c>
      <c r="I113" s="3">
        <v>49</v>
      </c>
      <c r="J113" s="3" t="s">
        <v>62</v>
      </c>
      <c r="K113" s="3" t="s">
        <v>24</v>
      </c>
      <c r="L113" s="3" t="s">
        <v>30</v>
      </c>
      <c r="M113" s="3" t="s">
        <v>26</v>
      </c>
      <c r="N113" s="3" t="s">
        <v>27</v>
      </c>
      <c r="O113" s="19" t="s">
        <v>158</v>
      </c>
    </row>
    <row r="114" spans="1:15">
      <c r="A114" s="3">
        <v>258701915</v>
      </c>
      <c r="B114" s="4">
        <v>46150.544236111098</v>
      </c>
      <c r="C114" s="5">
        <f t="shared" si="4"/>
        <v>46150</v>
      </c>
      <c r="D114" s="3" t="str">
        <f t="shared" si="5"/>
        <v>2026-05</v>
      </c>
      <c r="E114" s="3">
        <f t="shared" si="6"/>
        <v>13</v>
      </c>
      <c r="F114" s="3" t="str">
        <f t="shared" si="7"/>
        <v>الجمعة</v>
      </c>
      <c r="G114" s="3" t="s">
        <v>28</v>
      </c>
      <c r="H114" s="3">
        <v>1</v>
      </c>
      <c r="I114" s="3">
        <v>49</v>
      </c>
      <c r="J114" s="3" t="s">
        <v>23</v>
      </c>
      <c r="K114" s="3" t="s">
        <v>24</v>
      </c>
      <c r="L114" s="3" t="s">
        <v>56</v>
      </c>
      <c r="M114" s="3" t="s">
        <v>26</v>
      </c>
      <c r="N114" s="3" t="s">
        <v>27</v>
      </c>
      <c r="O114" s="19" t="s">
        <v>157</v>
      </c>
    </row>
    <row r="115" spans="1:15">
      <c r="A115" s="3">
        <v>258838227</v>
      </c>
      <c r="B115" s="4">
        <v>46151.090266203697</v>
      </c>
      <c r="C115" s="5">
        <f t="shared" si="4"/>
        <v>46151</v>
      </c>
      <c r="D115" s="3" t="str">
        <f t="shared" si="5"/>
        <v>2026-05</v>
      </c>
      <c r="E115" s="3">
        <f t="shared" si="6"/>
        <v>2</v>
      </c>
      <c r="F115" s="3" t="str">
        <f t="shared" si="7"/>
        <v>السبت</v>
      </c>
      <c r="G115" s="3" t="s">
        <v>28</v>
      </c>
      <c r="H115" s="3">
        <v>1</v>
      </c>
      <c r="I115" s="3">
        <v>49</v>
      </c>
      <c r="J115" s="3" t="s">
        <v>23</v>
      </c>
      <c r="K115" s="3" t="s">
        <v>24</v>
      </c>
      <c r="L115" s="3" t="s">
        <v>43</v>
      </c>
      <c r="M115" s="3" t="s">
        <v>26</v>
      </c>
      <c r="N115" s="3" t="s">
        <v>27</v>
      </c>
      <c r="O115" s="19" t="s">
        <v>157</v>
      </c>
    </row>
    <row r="116" spans="1:15">
      <c r="A116" s="3">
        <v>258890630</v>
      </c>
      <c r="B116" s="4">
        <v>46151.544907407399</v>
      </c>
      <c r="C116" s="5">
        <f t="shared" si="4"/>
        <v>46151</v>
      </c>
      <c r="D116" s="3" t="str">
        <f t="shared" si="5"/>
        <v>2026-05</v>
      </c>
      <c r="E116" s="3">
        <f t="shared" si="6"/>
        <v>13</v>
      </c>
      <c r="F116" s="3" t="str">
        <f t="shared" si="7"/>
        <v>السبت</v>
      </c>
      <c r="G116" s="3" t="s">
        <v>28</v>
      </c>
      <c r="H116" s="3">
        <v>1</v>
      </c>
      <c r="I116" s="3">
        <v>49</v>
      </c>
      <c r="J116" s="3" t="s">
        <v>23</v>
      </c>
      <c r="K116" s="3" t="s">
        <v>24</v>
      </c>
      <c r="L116" s="3" t="s">
        <v>72</v>
      </c>
      <c r="M116" s="3" t="s">
        <v>26</v>
      </c>
      <c r="N116" s="3" t="s">
        <v>27</v>
      </c>
      <c r="O116" s="19" t="s">
        <v>158</v>
      </c>
    </row>
    <row r="117" spans="1:15">
      <c r="A117" s="3">
        <v>258912015</v>
      </c>
      <c r="B117" s="4">
        <v>46151.635312500002</v>
      </c>
      <c r="C117" s="5">
        <f t="shared" si="4"/>
        <v>46151</v>
      </c>
      <c r="D117" s="3" t="str">
        <f t="shared" si="5"/>
        <v>2026-05</v>
      </c>
      <c r="E117" s="3">
        <f t="shared" si="6"/>
        <v>15</v>
      </c>
      <c r="F117" s="3" t="str">
        <f t="shared" si="7"/>
        <v>السبت</v>
      </c>
      <c r="G117" s="3" t="s">
        <v>28</v>
      </c>
      <c r="H117" s="3">
        <v>1</v>
      </c>
      <c r="I117" s="3">
        <v>49</v>
      </c>
      <c r="J117" s="3" t="s">
        <v>29</v>
      </c>
      <c r="K117" s="3" t="s">
        <v>24</v>
      </c>
      <c r="L117" s="3" t="s">
        <v>73</v>
      </c>
      <c r="M117" s="3" t="s">
        <v>26</v>
      </c>
      <c r="N117" s="3" t="s">
        <v>27</v>
      </c>
      <c r="O117" s="19" t="s">
        <v>158</v>
      </c>
    </row>
    <row r="118" spans="1:15">
      <c r="A118" s="3">
        <v>258964530</v>
      </c>
      <c r="B118" s="4">
        <v>46151.829490740703</v>
      </c>
      <c r="C118" s="5">
        <f t="shared" si="4"/>
        <v>46151</v>
      </c>
      <c r="D118" s="3" t="str">
        <f t="shared" si="5"/>
        <v>2026-05</v>
      </c>
      <c r="E118" s="3">
        <f t="shared" si="6"/>
        <v>19</v>
      </c>
      <c r="F118" s="3" t="str">
        <f t="shared" si="7"/>
        <v>السبت</v>
      </c>
      <c r="G118" s="3" t="s">
        <v>28</v>
      </c>
      <c r="H118" s="3">
        <v>1</v>
      </c>
      <c r="I118" s="3">
        <v>49</v>
      </c>
      <c r="J118" s="3" t="s">
        <v>23</v>
      </c>
      <c r="K118" s="3" t="s">
        <v>24</v>
      </c>
      <c r="L118" s="3" t="s">
        <v>30</v>
      </c>
      <c r="M118" s="3" t="s">
        <v>26</v>
      </c>
      <c r="N118" s="3" t="s">
        <v>27</v>
      </c>
      <c r="O118" s="19" t="s">
        <v>158</v>
      </c>
    </row>
    <row r="119" spans="1:15">
      <c r="A119" s="3">
        <v>258967982</v>
      </c>
      <c r="B119" s="4">
        <v>46151.840578703697</v>
      </c>
      <c r="C119" s="5">
        <f t="shared" si="4"/>
        <v>46151</v>
      </c>
      <c r="D119" s="3" t="str">
        <f t="shared" si="5"/>
        <v>2026-05</v>
      </c>
      <c r="E119" s="3">
        <f t="shared" si="6"/>
        <v>20</v>
      </c>
      <c r="F119" s="3" t="str">
        <f t="shared" si="7"/>
        <v>السبت</v>
      </c>
      <c r="G119" s="3" t="s">
        <v>68</v>
      </c>
      <c r="H119" s="3">
        <v>1</v>
      </c>
      <c r="I119" s="3">
        <v>49</v>
      </c>
      <c r="J119" s="3" t="s">
        <v>23</v>
      </c>
      <c r="K119" s="3" t="s">
        <v>24</v>
      </c>
      <c r="L119" s="3" t="s">
        <v>30</v>
      </c>
      <c r="M119" s="3" t="s">
        <v>26</v>
      </c>
      <c r="N119" s="3" t="s">
        <v>27</v>
      </c>
      <c r="O119" s="19" t="s">
        <v>158</v>
      </c>
    </row>
    <row r="120" spans="1:15">
      <c r="A120" s="3">
        <v>258991564</v>
      </c>
      <c r="B120" s="4">
        <v>46151.920578703699</v>
      </c>
      <c r="C120" s="5">
        <f t="shared" si="4"/>
        <v>46151</v>
      </c>
      <c r="D120" s="3" t="str">
        <f t="shared" si="5"/>
        <v>2026-05</v>
      </c>
      <c r="E120" s="3">
        <f t="shared" si="6"/>
        <v>22</v>
      </c>
      <c r="F120" s="3" t="str">
        <f t="shared" si="7"/>
        <v>السبت</v>
      </c>
      <c r="G120" s="3" t="s">
        <v>28</v>
      </c>
      <c r="H120" s="3">
        <v>1</v>
      </c>
      <c r="I120" s="3">
        <v>49</v>
      </c>
      <c r="J120" s="3" t="s">
        <v>23</v>
      </c>
      <c r="K120" s="3" t="s">
        <v>24</v>
      </c>
      <c r="L120" s="3" t="s">
        <v>30</v>
      </c>
      <c r="M120" s="3" t="s">
        <v>26</v>
      </c>
      <c r="N120" s="3" t="s">
        <v>27</v>
      </c>
      <c r="O120" s="19" t="s">
        <v>158</v>
      </c>
    </row>
    <row r="121" spans="1:15">
      <c r="A121" s="3">
        <v>259307451</v>
      </c>
      <c r="B121" s="4">
        <v>46153.401527777802</v>
      </c>
      <c r="C121" s="5">
        <f t="shared" si="4"/>
        <v>46153</v>
      </c>
      <c r="D121" s="3" t="str">
        <f t="shared" si="5"/>
        <v>2026-05</v>
      </c>
      <c r="E121" s="3">
        <f t="shared" si="6"/>
        <v>9</v>
      </c>
      <c r="F121" s="3" t="str">
        <f t="shared" si="7"/>
        <v>الإثنين</v>
      </c>
      <c r="G121" s="3" t="s">
        <v>28</v>
      </c>
      <c r="H121" s="3">
        <v>1</v>
      </c>
      <c r="I121" s="3">
        <v>49</v>
      </c>
      <c r="J121" s="3" t="s">
        <v>23</v>
      </c>
      <c r="K121" s="3" t="s">
        <v>24</v>
      </c>
      <c r="L121" s="3" t="s">
        <v>30</v>
      </c>
      <c r="M121" s="3" t="s">
        <v>26</v>
      </c>
      <c r="N121" s="3" t="s">
        <v>27</v>
      </c>
      <c r="O121" s="19" t="s">
        <v>158</v>
      </c>
    </row>
    <row r="122" spans="1:15">
      <c r="A122" s="3">
        <v>259635771</v>
      </c>
      <c r="B122" s="4">
        <v>46154.964710648201</v>
      </c>
      <c r="C122" s="5">
        <f t="shared" si="4"/>
        <v>46154</v>
      </c>
      <c r="D122" s="3" t="str">
        <f t="shared" si="5"/>
        <v>2026-05</v>
      </c>
      <c r="E122" s="3">
        <f t="shared" si="6"/>
        <v>23</v>
      </c>
      <c r="F122" s="3" t="str">
        <f t="shared" si="7"/>
        <v>الثلاثاء</v>
      </c>
      <c r="G122" s="3" t="s">
        <v>68</v>
      </c>
      <c r="H122" s="3">
        <v>1</v>
      </c>
      <c r="I122" s="3">
        <v>49</v>
      </c>
      <c r="J122" s="3" t="s">
        <v>34</v>
      </c>
      <c r="K122" s="3" t="s">
        <v>24</v>
      </c>
      <c r="L122" s="3" t="s">
        <v>74</v>
      </c>
      <c r="M122" s="3" t="s">
        <v>26</v>
      </c>
      <c r="N122" s="3" t="s">
        <v>27</v>
      </c>
      <c r="O122" s="19" t="s">
        <v>158</v>
      </c>
    </row>
    <row r="123" spans="1:15">
      <c r="A123" s="3">
        <v>259635771</v>
      </c>
      <c r="B123" s="4">
        <v>46154.964710648201</v>
      </c>
      <c r="C123" s="5">
        <f t="shared" si="4"/>
        <v>46154</v>
      </c>
      <c r="D123" s="3" t="str">
        <f t="shared" si="5"/>
        <v>2026-05</v>
      </c>
      <c r="E123" s="3">
        <f t="shared" si="6"/>
        <v>23</v>
      </c>
      <c r="F123" s="3" t="str">
        <f t="shared" si="7"/>
        <v>الثلاثاء</v>
      </c>
      <c r="G123" s="3" t="s">
        <v>69</v>
      </c>
      <c r="H123" s="3">
        <v>1</v>
      </c>
      <c r="I123" s="3">
        <v>49</v>
      </c>
      <c r="J123" s="3" t="s">
        <v>34</v>
      </c>
      <c r="K123" s="3" t="s">
        <v>24</v>
      </c>
      <c r="L123" s="3" t="s">
        <v>74</v>
      </c>
      <c r="M123" s="3" t="s">
        <v>26</v>
      </c>
      <c r="N123" s="3" t="s">
        <v>27</v>
      </c>
      <c r="O123" s="19" t="s">
        <v>158</v>
      </c>
    </row>
    <row r="124" spans="1:15">
      <c r="A124" s="3">
        <v>259635771</v>
      </c>
      <c r="B124" s="4">
        <v>46154.964710648201</v>
      </c>
      <c r="C124" s="5">
        <f t="shared" si="4"/>
        <v>46154</v>
      </c>
      <c r="D124" s="3" t="str">
        <f t="shared" si="5"/>
        <v>2026-05</v>
      </c>
      <c r="E124" s="3">
        <f t="shared" si="6"/>
        <v>23</v>
      </c>
      <c r="F124" s="3" t="str">
        <f t="shared" si="7"/>
        <v>الثلاثاء</v>
      </c>
      <c r="G124" s="3" t="s">
        <v>28</v>
      </c>
      <c r="H124" s="3">
        <v>1</v>
      </c>
      <c r="I124" s="3">
        <v>49</v>
      </c>
      <c r="J124" s="3" t="s">
        <v>34</v>
      </c>
      <c r="K124" s="3" t="s">
        <v>24</v>
      </c>
      <c r="L124" s="3" t="s">
        <v>74</v>
      </c>
      <c r="M124" s="3" t="s">
        <v>26</v>
      </c>
      <c r="N124" s="3" t="s">
        <v>27</v>
      </c>
      <c r="O124" s="19" t="s">
        <v>158</v>
      </c>
    </row>
    <row r="125" spans="1:15">
      <c r="A125" s="3">
        <v>260118380</v>
      </c>
      <c r="B125" s="4">
        <v>46157.709259259304</v>
      </c>
      <c r="C125" s="5">
        <f t="shared" si="4"/>
        <v>46157</v>
      </c>
      <c r="D125" s="3" t="str">
        <f t="shared" si="5"/>
        <v>2026-05</v>
      </c>
      <c r="E125" s="3">
        <f t="shared" si="6"/>
        <v>17</v>
      </c>
      <c r="F125" s="3" t="str">
        <f t="shared" si="7"/>
        <v>الجمعة</v>
      </c>
      <c r="G125" s="3" t="s">
        <v>28</v>
      </c>
      <c r="H125" s="3">
        <v>1</v>
      </c>
      <c r="I125" s="3">
        <v>49</v>
      </c>
      <c r="J125" s="3" t="s">
        <v>62</v>
      </c>
      <c r="K125" s="3" t="s">
        <v>24</v>
      </c>
      <c r="L125" s="3" t="s">
        <v>75</v>
      </c>
      <c r="M125" s="3" t="s">
        <v>26</v>
      </c>
      <c r="N125" s="3" t="s">
        <v>27</v>
      </c>
      <c r="O125" s="19" t="s">
        <v>158</v>
      </c>
    </row>
    <row r="126" spans="1:15">
      <c r="A126" s="3">
        <v>261553852</v>
      </c>
      <c r="B126" s="4">
        <v>46164.909201388902</v>
      </c>
      <c r="C126" s="5">
        <f t="shared" si="4"/>
        <v>46164</v>
      </c>
      <c r="D126" s="3" t="str">
        <f t="shared" si="5"/>
        <v>2026-05</v>
      </c>
      <c r="E126" s="3">
        <f t="shared" si="6"/>
        <v>21</v>
      </c>
      <c r="F126" s="3" t="str">
        <f t="shared" si="7"/>
        <v>الجمعة</v>
      </c>
      <c r="G126" s="3" t="s">
        <v>28</v>
      </c>
      <c r="H126" s="3">
        <v>1</v>
      </c>
      <c r="I126" s="3">
        <v>49</v>
      </c>
      <c r="J126" s="3" t="s">
        <v>23</v>
      </c>
      <c r="K126" s="3" t="s">
        <v>24</v>
      </c>
      <c r="L126" s="3" t="s">
        <v>43</v>
      </c>
      <c r="M126" s="3" t="s">
        <v>26</v>
      </c>
      <c r="N126" s="3" t="s">
        <v>27</v>
      </c>
      <c r="O126" s="19" t="s">
        <v>158</v>
      </c>
    </row>
    <row r="127" spans="1:15">
      <c r="A127" s="3">
        <v>261581621</v>
      </c>
      <c r="B127" s="4">
        <v>46165.017060185201</v>
      </c>
      <c r="C127" s="5">
        <f t="shared" si="4"/>
        <v>46165</v>
      </c>
      <c r="D127" s="3" t="str">
        <f t="shared" si="5"/>
        <v>2026-05</v>
      </c>
      <c r="E127" s="3">
        <f t="shared" si="6"/>
        <v>0</v>
      </c>
      <c r="F127" s="3" t="str">
        <f t="shared" si="7"/>
        <v>السبت</v>
      </c>
      <c r="G127" s="3" t="s">
        <v>28</v>
      </c>
      <c r="H127" s="3">
        <v>1</v>
      </c>
      <c r="I127" s="3">
        <v>49</v>
      </c>
      <c r="J127" s="3" t="s">
        <v>23</v>
      </c>
      <c r="K127" s="3" t="s">
        <v>24</v>
      </c>
      <c r="L127" s="3" t="s">
        <v>30</v>
      </c>
      <c r="M127" s="3" t="s">
        <v>26</v>
      </c>
      <c r="N127" s="3" t="s">
        <v>27</v>
      </c>
      <c r="O127" s="19" t="s">
        <v>158</v>
      </c>
    </row>
    <row r="128" spans="1:15">
      <c r="A128" s="3">
        <v>261583819</v>
      </c>
      <c r="B128" s="4">
        <v>46165.026041666701</v>
      </c>
      <c r="C128" s="5">
        <f t="shared" si="4"/>
        <v>46165</v>
      </c>
      <c r="D128" s="3" t="str">
        <f t="shared" si="5"/>
        <v>2026-05</v>
      </c>
      <c r="E128" s="3">
        <f t="shared" si="6"/>
        <v>0</v>
      </c>
      <c r="F128" s="3" t="str">
        <f t="shared" si="7"/>
        <v>السبت</v>
      </c>
      <c r="G128" s="3" t="s">
        <v>28</v>
      </c>
      <c r="H128" s="3">
        <v>1</v>
      </c>
      <c r="I128" s="3">
        <v>49</v>
      </c>
      <c r="J128" s="3" t="s">
        <v>62</v>
      </c>
      <c r="K128" s="3" t="s">
        <v>24</v>
      </c>
      <c r="L128" s="3" t="s">
        <v>30</v>
      </c>
      <c r="M128" s="3" t="s">
        <v>26</v>
      </c>
      <c r="N128" s="3" t="s">
        <v>27</v>
      </c>
      <c r="O128" s="19" t="s">
        <v>158</v>
      </c>
    </row>
    <row r="129" spans="1:15">
      <c r="A129" s="3">
        <v>261590699</v>
      </c>
      <c r="B129" s="4">
        <v>46165.053692129601</v>
      </c>
      <c r="C129" s="5">
        <f t="shared" si="4"/>
        <v>46165</v>
      </c>
      <c r="D129" s="3" t="str">
        <f t="shared" si="5"/>
        <v>2026-05</v>
      </c>
      <c r="E129" s="3">
        <f t="shared" si="6"/>
        <v>1</v>
      </c>
      <c r="F129" s="3" t="str">
        <f t="shared" si="7"/>
        <v>السبت</v>
      </c>
      <c r="G129" s="3" t="s">
        <v>28</v>
      </c>
      <c r="H129" s="3">
        <v>1</v>
      </c>
      <c r="I129" s="3">
        <v>49</v>
      </c>
      <c r="J129" s="3" t="s">
        <v>23</v>
      </c>
      <c r="K129" s="3" t="s">
        <v>24</v>
      </c>
      <c r="L129" s="3" t="s">
        <v>35</v>
      </c>
      <c r="M129" s="3" t="s">
        <v>26</v>
      </c>
      <c r="N129" s="3" t="s">
        <v>27</v>
      </c>
      <c r="O129" s="19" t="s">
        <v>158</v>
      </c>
    </row>
    <row r="130" spans="1:15">
      <c r="A130" s="3">
        <v>261612721</v>
      </c>
      <c r="B130" s="4">
        <v>46165.166655092602</v>
      </c>
      <c r="C130" s="5">
        <f t="shared" ref="C130:C193" si="8">INT(B130)</f>
        <v>46165</v>
      </c>
      <c r="D130" s="3" t="str">
        <f t="shared" ref="D130:D193" si="9">TEXT(B130,"yyyy-mm")</f>
        <v>2026-05</v>
      </c>
      <c r="E130" s="3">
        <f t="shared" ref="E130:E193" si="10">HOUR(B130)</f>
        <v>3</v>
      </c>
      <c r="F130" s="3" t="str">
        <f t="shared" ref="F130:F193" si="11">CHOOSE(WEEKDAY(B130,2),"الإثنين","الثلاثاء","الأربعاء","الخميس","الجمعة","السبت","الأحد")</f>
        <v>السبت</v>
      </c>
      <c r="G130" s="3" t="s">
        <v>69</v>
      </c>
      <c r="H130" s="3">
        <v>1</v>
      </c>
      <c r="I130" s="3">
        <v>49</v>
      </c>
      <c r="J130" s="3" t="s">
        <v>62</v>
      </c>
      <c r="K130" s="3" t="s">
        <v>24</v>
      </c>
      <c r="L130" s="3" t="s">
        <v>40</v>
      </c>
      <c r="M130" s="3" t="s">
        <v>26</v>
      </c>
      <c r="N130" s="3" t="s">
        <v>27</v>
      </c>
      <c r="O130" s="19" t="s">
        <v>158</v>
      </c>
    </row>
    <row r="131" spans="1:15">
      <c r="A131" s="3">
        <v>261612721</v>
      </c>
      <c r="B131" s="4">
        <v>46165.166655092602</v>
      </c>
      <c r="C131" s="5">
        <f t="shared" si="8"/>
        <v>46165</v>
      </c>
      <c r="D131" s="3" t="str">
        <f t="shared" si="9"/>
        <v>2026-05</v>
      </c>
      <c r="E131" s="3">
        <f t="shared" si="10"/>
        <v>3</v>
      </c>
      <c r="F131" s="3" t="str">
        <f t="shared" si="11"/>
        <v>السبت</v>
      </c>
      <c r="G131" s="3" t="s">
        <v>68</v>
      </c>
      <c r="H131" s="3">
        <v>1</v>
      </c>
      <c r="I131" s="3">
        <v>49</v>
      </c>
      <c r="J131" s="3" t="s">
        <v>62</v>
      </c>
      <c r="K131" s="3" t="s">
        <v>24</v>
      </c>
      <c r="L131" s="3" t="s">
        <v>40</v>
      </c>
      <c r="M131" s="3" t="s">
        <v>26</v>
      </c>
      <c r="N131" s="3" t="s">
        <v>27</v>
      </c>
      <c r="O131" s="19" t="s">
        <v>158</v>
      </c>
    </row>
    <row r="132" spans="1:15">
      <c r="A132" s="3">
        <v>261612721</v>
      </c>
      <c r="B132" s="4">
        <v>46165.166655092602</v>
      </c>
      <c r="C132" s="5">
        <f t="shared" si="8"/>
        <v>46165</v>
      </c>
      <c r="D132" s="3" t="str">
        <f t="shared" si="9"/>
        <v>2026-05</v>
      </c>
      <c r="E132" s="3">
        <f t="shared" si="10"/>
        <v>3</v>
      </c>
      <c r="F132" s="3" t="str">
        <f t="shared" si="11"/>
        <v>السبت</v>
      </c>
      <c r="G132" s="3" t="s">
        <v>28</v>
      </c>
      <c r="H132" s="3">
        <v>1</v>
      </c>
      <c r="I132" s="3">
        <v>49</v>
      </c>
      <c r="J132" s="3" t="s">
        <v>62</v>
      </c>
      <c r="K132" s="3" t="s">
        <v>24</v>
      </c>
      <c r="L132" s="3" t="s">
        <v>40</v>
      </c>
      <c r="M132" s="3" t="s">
        <v>26</v>
      </c>
      <c r="N132" s="3" t="s">
        <v>27</v>
      </c>
      <c r="O132" s="19" t="s">
        <v>158</v>
      </c>
    </row>
    <row r="133" spans="1:15">
      <c r="A133" s="3">
        <v>261689392</v>
      </c>
      <c r="B133" s="4">
        <v>46165.680474537003</v>
      </c>
      <c r="C133" s="5">
        <f t="shared" si="8"/>
        <v>46165</v>
      </c>
      <c r="D133" s="3" t="str">
        <f t="shared" si="9"/>
        <v>2026-05</v>
      </c>
      <c r="E133" s="3">
        <f t="shared" si="10"/>
        <v>16</v>
      </c>
      <c r="F133" s="3" t="str">
        <f t="shared" si="11"/>
        <v>السبت</v>
      </c>
      <c r="G133" s="3" t="s">
        <v>28</v>
      </c>
      <c r="H133" s="3">
        <v>1</v>
      </c>
      <c r="I133" s="3">
        <v>49</v>
      </c>
      <c r="J133" s="3" t="s">
        <v>23</v>
      </c>
      <c r="K133" s="3" t="s">
        <v>24</v>
      </c>
      <c r="L133" s="3" t="s">
        <v>40</v>
      </c>
      <c r="M133" s="3" t="s">
        <v>26</v>
      </c>
      <c r="N133" s="3" t="s">
        <v>27</v>
      </c>
      <c r="O133" s="19" t="s">
        <v>158</v>
      </c>
    </row>
    <row r="134" spans="1:15">
      <c r="A134" s="3">
        <v>261733985</v>
      </c>
      <c r="B134" s="4">
        <v>46165.853113425903</v>
      </c>
      <c r="C134" s="5">
        <f t="shared" si="8"/>
        <v>46165</v>
      </c>
      <c r="D134" s="3" t="str">
        <f t="shared" si="9"/>
        <v>2026-05</v>
      </c>
      <c r="E134" s="3">
        <f t="shared" si="10"/>
        <v>20</v>
      </c>
      <c r="F134" s="3" t="str">
        <f t="shared" si="11"/>
        <v>السبت</v>
      </c>
      <c r="G134" s="3" t="s">
        <v>28</v>
      </c>
      <c r="H134" s="3">
        <v>1</v>
      </c>
      <c r="I134" s="3">
        <v>49</v>
      </c>
      <c r="J134" s="3" t="s">
        <v>23</v>
      </c>
      <c r="K134" s="3" t="s">
        <v>24</v>
      </c>
      <c r="L134" s="3" t="s">
        <v>76</v>
      </c>
      <c r="M134" s="3" t="s">
        <v>26</v>
      </c>
      <c r="N134" s="3" t="s">
        <v>27</v>
      </c>
      <c r="O134" s="19" t="s">
        <v>158</v>
      </c>
    </row>
    <row r="135" spans="1:15">
      <c r="A135" s="3">
        <v>261733985</v>
      </c>
      <c r="B135" s="4">
        <v>46165.853113425903</v>
      </c>
      <c r="C135" s="5">
        <f t="shared" si="8"/>
        <v>46165</v>
      </c>
      <c r="D135" s="3" t="str">
        <f t="shared" si="9"/>
        <v>2026-05</v>
      </c>
      <c r="E135" s="3">
        <f t="shared" si="10"/>
        <v>20</v>
      </c>
      <c r="F135" s="3" t="str">
        <f t="shared" si="11"/>
        <v>السبت</v>
      </c>
      <c r="G135" s="3" t="s">
        <v>68</v>
      </c>
      <c r="H135" s="3">
        <v>1</v>
      </c>
      <c r="I135" s="3">
        <v>49</v>
      </c>
      <c r="J135" s="3" t="s">
        <v>23</v>
      </c>
      <c r="K135" s="3" t="s">
        <v>24</v>
      </c>
      <c r="L135" s="3" t="s">
        <v>76</v>
      </c>
      <c r="M135" s="3" t="s">
        <v>26</v>
      </c>
      <c r="N135" s="3" t="s">
        <v>27</v>
      </c>
      <c r="O135" s="19" t="s">
        <v>158</v>
      </c>
    </row>
    <row r="136" spans="1:15">
      <c r="A136" s="3">
        <v>261733985</v>
      </c>
      <c r="B136" s="4">
        <v>46165.853113425903</v>
      </c>
      <c r="C136" s="5">
        <f t="shared" si="8"/>
        <v>46165</v>
      </c>
      <c r="D136" s="3" t="str">
        <f t="shared" si="9"/>
        <v>2026-05</v>
      </c>
      <c r="E136" s="3">
        <f t="shared" si="10"/>
        <v>20</v>
      </c>
      <c r="F136" s="3" t="str">
        <f t="shared" si="11"/>
        <v>السبت</v>
      </c>
      <c r="G136" s="3" t="s">
        <v>69</v>
      </c>
      <c r="H136" s="3">
        <v>1</v>
      </c>
      <c r="I136" s="3">
        <v>49</v>
      </c>
      <c r="J136" s="3" t="s">
        <v>23</v>
      </c>
      <c r="K136" s="3" t="s">
        <v>24</v>
      </c>
      <c r="L136" s="3" t="s">
        <v>76</v>
      </c>
      <c r="M136" s="3" t="s">
        <v>26</v>
      </c>
      <c r="N136" s="3" t="s">
        <v>27</v>
      </c>
      <c r="O136" s="19" t="s">
        <v>158</v>
      </c>
    </row>
    <row r="137" spans="1:15">
      <c r="A137" s="3">
        <v>261735236</v>
      </c>
      <c r="B137" s="4">
        <v>46165.858263888898</v>
      </c>
      <c r="C137" s="5">
        <f t="shared" si="8"/>
        <v>46165</v>
      </c>
      <c r="D137" s="3" t="str">
        <f t="shared" si="9"/>
        <v>2026-05</v>
      </c>
      <c r="E137" s="3">
        <f t="shared" si="10"/>
        <v>20</v>
      </c>
      <c r="F137" s="3" t="str">
        <f t="shared" si="11"/>
        <v>السبت</v>
      </c>
      <c r="G137" s="3" t="s">
        <v>28</v>
      </c>
      <c r="H137" s="3">
        <v>1</v>
      </c>
      <c r="I137" s="3">
        <v>49</v>
      </c>
      <c r="J137" s="3" t="s">
        <v>29</v>
      </c>
      <c r="K137" s="3" t="s">
        <v>24</v>
      </c>
      <c r="L137" s="3" t="s">
        <v>40</v>
      </c>
      <c r="M137" s="3" t="s">
        <v>26</v>
      </c>
      <c r="N137" s="3" t="s">
        <v>27</v>
      </c>
      <c r="O137" s="19" t="s">
        <v>157</v>
      </c>
    </row>
    <row r="138" spans="1:15">
      <c r="A138" s="3">
        <v>261735629</v>
      </c>
      <c r="B138" s="4">
        <v>46165.859907407401</v>
      </c>
      <c r="C138" s="5">
        <f t="shared" si="8"/>
        <v>46165</v>
      </c>
      <c r="D138" s="3" t="str">
        <f t="shared" si="9"/>
        <v>2026-05</v>
      </c>
      <c r="E138" s="3">
        <f t="shared" si="10"/>
        <v>20</v>
      </c>
      <c r="F138" s="3" t="str">
        <f t="shared" si="11"/>
        <v>السبت</v>
      </c>
      <c r="G138" s="3" t="s">
        <v>69</v>
      </c>
      <c r="H138" s="3">
        <v>1</v>
      </c>
      <c r="I138" s="3">
        <v>49</v>
      </c>
      <c r="J138" s="3" t="s">
        <v>29</v>
      </c>
      <c r="K138" s="3" t="s">
        <v>24</v>
      </c>
      <c r="L138" s="3" t="s">
        <v>77</v>
      </c>
      <c r="M138" s="3" t="s">
        <v>26</v>
      </c>
      <c r="N138" s="3" t="s">
        <v>27</v>
      </c>
      <c r="O138" s="19" t="s">
        <v>158</v>
      </c>
    </row>
    <row r="139" spans="1:15">
      <c r="A139" s="3">
        <v>261735629</v>
      </c>
      <c r="B139" s="4">
        <v>46165.859907407401</v>
      </c>
      <c r="C139" s="5">
        <f t="shared" si="8"/>
        <v>46165</v>
      </c>
      <c r="D139" s="3" t="str">
        <f t="shared" si="9"/>
        <v>2026-05</v>
      </c>
      <c r="E139" s="3">
        <f t="shared" si="10"/>
        <v>20</v>
      </c>
      <c r="F139" s="3" t="str">
        <f t="shared" si="11"/>
        <v>السبت</v>
      </c>
      <c r="G139" s="3" t="s">
        <v>28</v>
      </c>
      <c r="H139" s="3">
        <v>1</v>
      </c>
      <c r="I139" s="3">
        <v>49</v>
      </c>
      <c r="J139" s="3" t="s">
        <v>29</v>
      </c>
      <c r="K139" s="3" t="s">
        <v>24</v>
      </c>
      <c r="L139" s="3" t="s">
        <v>77</v>
      </c>
      <c r="M139" s="3" t="s">
        <v>26</v>
      </c>
      <c r="N139" s="3" t="s">
        <v>27</v>
      </c>
      <c r="O139" s="19" t="s">
        <v>158</v>
      </c>
    </row>
    <row r="140" spans="1:15">
      <c r="A140" s="3">
        <v>261735629</v>
      </c>
      <c r="B140" s="4">
        <v>46165.859907407401</v>
      </c>
      <c r="C140" s="5">
        <f t="shared" si="8"/>
        <v>46165</v>
      </c>
      <c r="D140" s="3" t="str">
        <f t="shared" si="9"/>
        <v>2026-05</v>
      </c>
      <c r="E140" s="3">
        <f t="shared" si="10"/>
        <v>20</v>
      </c>
      <c r="F140" s="3" t="str">
        <f t="shared" si="11"/>
        <v>السبت</v>
      </c>
      <c r="G140" s="3" t="s">
        <v>69</v>
      </c>
      <c r="H140" s="3">
        <v>1</v>
      </c>
      <c r="I140" s="3">
        <v>49</v>
      </c>
      <c r="J140" s="3" t="s">
        <v>29</v>
      </c>
      <c r="K140" s="3" t="s">
        <v>24</v>
      </c>
      <c r="L140" s="3" t="s">
        <v>77</v>
      </c>
      <c r="M140" s="3" t="s">
        <v>26</v>
      </c>
      <c r="N140" s="3" t="s">
        <v>27</v>
      </c>
      <c r="O140" s="19" t="s">
        <v>158</v>
      </c>
    </row>
    <row r="141" spans="1:15">
      <c r="A141" s="3">
        <v>261736631</v>
      </c>
      <c r="B141" s="4">
        <v>46165.863993055602</v>
      </c>
      <c r="C141" s="5">
        <f t="shared" si="8"/>
        <v>46165</v>
      </c>
      <c r="D141" s="3" t="str">
        <f t="shared" si="9"/>
        <v>2026-05</v>
      </c>
      <c r="E141" s="3">
        <f t="shared" si="10"/>
        <v>20</v>
      </c>
      <c r="F141" s="3" t="str">
        <f t="shared" si="11"/>
        <v>السبت</v>
      </c>
      <c r="G141" s="3" t="s">
        <v>28</v>
      </c>
      <c r="H141" s="3">
        <v>1</v>
      </c>
      <c r="I141" s="3">
        <v>49</v>
      </c>
      <c r="J141" s="3" t="s">
        <v>23</v>
      </c>
      <c r="K141" s="3" t="s">
        <v>24</v>
      </c>
      <c r="L141" s="3" t="s">
        <v>30</v>
      </c>
      <c r="M141" s="3" t="s">
        <v>26</v>
      </c>
      <c r="N141" s="3" t="s">
        <v>27</v>
      </c>
      <c r="O141" s="19" t="s">
        <v>158</v>
      </c>
    </row>
    <row r="142" spans="1:15">
      <c r="A142" s="3">
        <v>261791791</v>
      </c>
      <c r="B142" s="4">
        <v>46166.082013888903</v>
      </c>
      <c r="C142" s="5">
        <f t="shared" si="8"/>
        <v>46166</v>
      </c>
      <c r="D142" s="3" t="str">
        <f t="shared" si="9"/>
        <v>2026-05</v>
      </c>
      <c r="E142" s="3">
        <f t="shared" si="10"/>
        <v>1</v>
      </c>
      <c r="F142" s="3" t="str">
        <f t="shared" si="11"/>
        <v>الأحد</v>
      </c>
      <c r="G142" s="3" t="s">
        <v>28</v>
      </c>
      <c r="H142" s="3">
        <v>1</v>
      </c>
      <c r="I142" s="3">
        <v>49</v>
      </c>
      <c r="J142" s="3" t="s">
        <v>23</v>
      </c>
      <c r="K142" s="3" t="s">
        <v>24</v>
      </c>
      <c r="L142" s="3" t="s">
        <v>43</v>
      </c>
      <c r="M142" s="3" t="s">
        <v>26</v>
      </c>
      <c r="N142" s="3" t="s">
        <v>27</v>
      </c>
      <c r="O142" s="19" t="s">
        <v>158</v>
      </c>
    </row>
    <row r="143" spans="1:15">
      <c r="A143" s="3">
        <v>262003621</v>
      </c>
      <c r="B143" s="4">
        <v>46166.868159722202</v>
      </c>
      <c r="C143" s="5">
        <f t="shared" si="8"/>
        <v>46166</v>
      </c>
      <c r="D143" s="3" t="str">
        <f t="shared" si="9"/>
        <v>2026-05</v>
      </c>
      <c r="E143" s="3">
        <f t="shared" si="10"/>
        <v>20</v>
      </c>
      <c r="F143" s="3" t="str">
        <f t="shared" si="11"/>
        <v>الأحد</v>
      </c>
      <c r="G143" s="3" t="s">
        <v>68</v>
      </c>
      <c r="H143" s="3">
        <v>1</v>
      </c>
      <c r="I143" s="3">
        <v>49</v>
      </c>
      <c r="J143" s="3" t="s">
        <v>23</v>
      </c>
      <c r="K143" s="3" t="s">
        <v>24</v>
      </c>
      <c r="L143" s="3" t="s">
        <v>43</v>
      </c>
      <c r="M143" s="3" t="s">
        <v>26</v>
      </c>
      <c r="N143" s="3" t="s">
        <v>27</v>
      </c>
      <c r="O143" s="19" t="s">
        <v>158</v>
      </c>
    </row>
    <row r="144" spans="1:15">
      <c r="A144" s="3">
        <v>262023224</v>
      </c>
      <c r="B144" s="4">
        <v>46166.925046296303</v>
      </c>
      <c r="C144" s="5">
        <f t="shared" si="8"/>
        <v>46166</v>
      </c>
      <c r="D144" s="3" t="str">
        <f t="shared" si="9"/>
        <v>2026-05</v>
      </c>
      <c r="E144" s="3">
        <f t="shared" si="10"/>
        <v>22</v>
      </c>
      <c r="F144" s="3" t="str">
        <f t="shared" si="11"/>
        <v>الأحد</v>
      </c>
      <c r="G144" s="3" t="s">
        <v>69</v>
      </c>
      <c r="H144" s="3">
        <v>1</v>
      </c>
      <c r="I144" s="3">
        <v>49</v>
      </c>
      <c r="J144" s="3" t="s">
        <v>23</v>
      </c>
      <c r="K144" s="3" t="s">
        <v>24</v>
      </c>
      <c r="L144" s="3" t="s">
        <v>43</v>
      </c>
      <c r="M144" s="3" t="s">
        <v>26</v>
      </c>
      <c r="N144" s="3" t="s">
        <v>27</v>
      </c>
      <c r="O144" s="19" t="s">
        <v>158</v>
      </c>
    </row>
    <row r="145" spans="1:15">
      <c r="A145" s="3">
        <v>262290833</v>
      </c>
      <c r="B145" s="4">
        <v>46167.866932870398</v>
      </c>
      <c r="C145" s="5">
        <f t="shared" si="8"/>
        <v>46167</v>
      </c>
      <c r="D145" s="3" t="str">
        <f t="shared" si="9"/>
        <v>2026-05</v>
      </c>
      <c r="E145" s="3">
        <f t="shared" si="10"/>
        <v>20</v>
      </c>
      <c r="F145" s="3" t="str">
        <f t="shared" si="11"/>
        <v>الإثنين</v>
      </c>
      <c r="G145" s="3" t="s">
        <v>69</v>
      </c>
      <c r="H145" s="3">
        <v>1</v>
      </c>
      <c r="I145" s="3">
        <v>49</v>
      </c>
      <c r="J145" s="3" t="s">
        <v>29</v>
      </c>
      <c r="K145" s="3" t="s">
        <v>24</v>
      </c>
      <c r="L145" s="3" t="s">
        <v>152</v>
      </c>
      <c r="M145" s="3" t="s">
        <v>46</v>
      </c>
      <c r="N145" s="3" t="s">
        <v>27</v>
      </c>
      <c r="O145" s="19" t="s">
        <v>158</v>
      </c>
    </row>
    <row r="146" spans="1:15">
      <c r="A146" s="3">
        <v>262359998</v>
      </c>
      <c r="B146" s="4">
        <v>46168.064814814803</v>
      </c>
      <c r="C146" s="5">
        <f t="shared" si="8"/>
        <v>46168</v>
      </c>
      <c r="D146" s="3" t="str">
        <f t="shared" si="9"/>
        <v>2026-05</v>
      </c>
      <c r="E146" s="3">
        <f t="shared" si="10"/>
        <v>1</v>
      </c>
      <c r="F146" s="3" t="str">
        <f t="shared" si="11"/>
        <v>الثلاثاء</v>
      </c>
      <c r="G146" s="3" t="s">
        <v>28</v>
      </c>
      <c r="H146" s="3">
        <v>1</v>
      </c>
      <c r="I146" s="3">
        <v>49</v>
      </c>
      <c r="J146" s="3" t="s">
        <v>29</v>
      </c>
      <c r="K146" s="3" t="s">
        <v>24</v>
      </c>
      <c r="L146" s="3" t="s">
        <v>30</v>
      </c>
      <c r="M146" s="3" t="s">
        <v>26</v>
      </c>
      <c r="N146" s="3" t="s">
        <v>27</v>
      </c>
      <c r="O146" s="19" t="s">
        <v>157</v>
      </c>
    </row>
    <row r="147" spans="1:15">
      <c r="A147" s="3">
        <v>262798791</v>
      </c>
      <c r="B147" s="4">
        <v>46169.922581018502</v>
      </c>
      <c r="C147" s="5">
        <f t="shared" si="8"/>
        <v>46169</v>
      </c>
      <c r="D147" s="3" t="str">
        <f t="shared" si="9"/>
        <v>2026-05</v>
      </c>
      <c r="E147" s="3">
        <f t="shared" si="10"/>
        <v>22</v>
      </c>
      <c r="F147" s="3" t="str">
        <f t="shared" si="11"/>
        <v>الأربعاء</v>
      </c>
      <c r="G147" s="3" t="s">
        <v>68</v>
      </c>
      <c r="H147" s="3">
        <v>1</v>
      </c>
      <c r="I147" s="3">
        <v>48.99</v>
      </c>
      <c r="J147" s="3" t="s">
        <v>23</v>
      </c>
      <c r="K147" s="3" t="s">
        <v>24</v>
      </c>
      <c r="L147" s="3" t="s">
        <v>78</v>
      </c>
      <c r="M147" s="3" t="s">
        <v>26</v>
      </c>
      <c r="N147" s="3" t="s">
        <v>27</v>
      </c>
      <c r="O147" s="19" t="s">
        <v>158</v>
      </c>
    </row>
    <row r="148" spans="1:15">
      <c r="A148" s="3">
        <v>262798791</v>
      </c>
      <c r="B148" s="4">
        <v>46169.922581018502</v>
      </c>
      <c r="C148" s="5">
        <f t="shared" si="8"/>
        <v>46169</v>
      </c>
      <c r="D148" s="3" t="str">
        <f t="shared" si="9"/>
        <v>2026-05</v>
      </c>
      <c r="E148" s="3">
        <f t="shared" si="10"/>
        <v>22</v>
      </c>
      <c r="F148" s="3" t="str">
        <f t="shared" si="11"/>
        <v>الأربعاء</v>
      </c>
      <c r="G148" s="3" t="s">
        <v>28</v>
      </c>
      <c r="H148" s="3">
        <v>1</v>
      </c>
      <c r="I148" s="3">
        <v>48.99</v>
      </c>
      <c r="J148" s="3" t="s">
        <v>23</v>
      </c>
      <c r="K148" s="3" t="s">
        <v>24</v>
      </c>
      <c r="L148" s="3" t="s">
        <v>78</v>
      </c>
      <c r="M148" s="3" t="s">
        <v>26</v>
      </c>
      <c r="N148" s="3" t="s">
        <v>27</v>
      </c>
      <c r="O148" s="19" t="s">
        <v>158</v>
      </c>
    </row>
    <row r="149" spans="1:15">
      <c r="A149" s="3">
        <v>262798791</v>
      </c>
      <c r="B149" s="4">
        <v>46169.922581018502</v>
      </c>
      <c r="C149" s="5">
        <f t="shared" si="8"/>
        <v>46169</v>
      </c>
      <c r="D149" s="3" t="str">
        <f t="shared" si="9"/>
        <v>2026-05</v>
      </c>
      <c r="E149" s="3">
        <f t="shared" si="10"/>
        <v>22</v>
      </c>
      <c r="F149" s="3" t="str">
        <f t="shared" si="11"/>
        <v>الأربعاء</v>
      </c>
      <c r="G149" s="3" t="s">
        <v>69</v>
      </c>
      <c r="H149" s="3">
        <v>1</v>
      </c>
      <c r="I149" s="3">
        <v>48.99</v>
      </c>
      <c r="J149" s="3" t="s">
        <v>23</v>
      </c>
      <c r="K149" s="3" t="s">
        <v>24</v>
      </c>
      <c r="L149" s="3" t="s">
        <v>78</v>
      </c>
      <c r="M149" s="3" t="s">
        <v>26</v>
      </c>
      <c r="N149" s="3" t="s">
        <v>27</v>
      </c>
      <c r="O149" s="19" t="s">
        <v>158</v>
      </c>
    </row>
    <row r="150" spans="1:15">
      <c r="A150" s="3">
        <v>262845075</v>
      </c>
      <c r="B150" s="4">
        <v>46170.229328703703</v>
      </c>
      <c r="C150" s="5">
        <f t="shared" si="8"/>
        <v>46170</v>
      </c>
      <c r="D150" s="3" t="str">
        <f t="shared" si="9"/>
        <v>2026-05</v>
      </c>
      <c r="E150" s="3">
        <f t="shared" si="10"/>
        <v>5</v>
      </c>
      <c r="F150" s="3" t="str">
        <f t="shared" si="11"/>
        <v>الخميس</v>
      </c>
      <c r="G150" s="3" t="s">
        <v>68</v>
      </c>
      <c r="H150" s="3">
        <v>1</v>
      </c>
      <c r="I150" s="3">
        <v>49</v>
      </c>
      <c r="J150" s="3" t="s">
        <v>29</v>
      </c>
      <c r="K150" s="3" t="s">
        <v>24</v>
      </c>
      <c r="L150" s="3" t="s">
        <v>30</v>
      </c>
      <c r="M150" s="3" t="s">
        <v>26</v>
      </c>
      <c r="N150" s="3" t="s">
        <v>27</v>
      </c>
      <c r="O150" s="19" t="s">
        <v>158</v>
      </c>
    </row>
    <row r="151" spans="1:15">
      <c r="A151" s="3">
        <v>262845075</v>
      </c>
      <c r="B151" s="4">
        <v>46170.229328703703</v>
      </c>
      <c r="C151" s="5">
        <f t="shared" si="8"/>
        <v>46170</v>
      </c>
      <c r="D151" s="3" t="str">
        <f t="shared" si="9"/>
        <v>2026-05</v>
      </c>
      <c r="E151" s="3">
        <f t="shared" si="10"/>
        <v>5</v>
      </c>
      <c r="F151" s="3" t="str">
        <f t="shared" si="11"/>
        <v>الخميس</v>
      </c>
      <c r="G151" s="3" t="s">
        <v>69</v>
      </c>
      <c r="H151" s="3">
        <v>1</v>
      </c>
      <c r="I151" s="3">
        <v>49</v>
      </c>
      <c r="J151" s="3" t="s">
        <v>29</v>
      </c>
      <c r="K151" s="3" t="s">
        <v>24</v>
      </c>
      <c r="L151" s="3" t="s">
        <v>30</v>
      </c>
      <c r="M151" s="3" t="s">
        <v>26</v>
      </c>
      <c r="N151" s="3" t="s">
        <v>27</v>
      </c>
      <c r="O151" s="19" t="s">
        <v>158</v>
      </c>
    </row>
    <row r="152" spans="1:15">
      <c r="A152" s="3">
        <v>262845075</v>
      </c>
      <c r="B152" s="4">
        <v>46170.229328703703</v>
      </c>
      <c r="C152" s="5">
        <f t="shared" si="8"/>
        <v>46170</v>
      </c>
      <c r="D152" s="3" t="str">
        <f t="shared" si="9"/>
        <v>2026-05</v>
      </c>
      <c r="E152" s="3">
        <f t="shared" si="10"/>
        <v>5</v>
      </c>
      <c r="F152" s="3" t="str">
        <f t="shared" si="11"/>
        <v>الخميس</v>
      </c>
      <c r="G152" s="3" t="s">
        <v>28</v>
      </c>
      <c r="H152" s="3">
        <v>1</v>
      </c>
      <c r="I152" s="3">
        <v>49</v>
      </c>
      <c r="J152" s="3" t="s">
        <v>29</v>
      </c>
      <c r="K152" s="3" t="s">
        <v>24</v>
      </c>
      <c r="L152" s="3" t="s">
        <v>30</v>
      </c>
      <c r="M152" s="3" t="s">
        <v>26</v>
      </c>
      <c r="N152" s="3" t="s">
        <v>27</v>
      </c>
      <c r="O152" s="19" t="s">
        <v>158</v>
      </c>
    </row>
    <row r="153" spans="1:15">
      <c r="A153" s="3">
        <v>262854834</v>
      </c>
      <c r="B153" s="4">
        <v>46170.3340509259</v>
      </c>
      <c r="C153" s="5">
        <f t="shared" si="8"/>
        <v>46170</v>
      </c>
      <c r="D153" s="3" t="str">
        <f t="shared" si="9"/>
        <v>2026-05</v>
      </c>
      <c r="E153" s="3">
        <f t="shared" si="10"/>
        <v>8</v>
      </c>
      <c r="F153" s="3" t="str">
        <f t="shared" si="11"/>
        <v>الخميس</v>
      </c>
      <c r="G153" s="3" t="s">
        <v>69</v>
      </c>
      <c r="H153" s="3">
        <v>1</v>
      </c>
      <c r="I153" s="3">
        <v>49</v>
      </c>
      <c r="J153" s="3" t="s">
        <v>29</v>
      </c>
      <c r="K153" s="3" t="s">
        <v>24</v>
      </c>
      <c r="L153" s="3" t="s">
        <v>78</v>
      </c>
      <c r="M153" s="3" t="s">
        <v>26</v>
      </c>
      <c r="N153" s="3" t="s">
        <v>27</v>
      </c>
      <c r="O153" s="19" t="s">
        <v>158</v>
      </c>
    </row>
    <row r="154" spans="1:15">
      <c r="A154" s="3">
        <v>262854985</v>
      </c>
      <c r="B154" s="4">
        <v>46170.336215277799</v>
      </c>
      <c r="C154" s="5">
        <f t="shared" si="8"/>
        <v>46170</v>
      </c>
      <c r="D154" s="3" t="str">
        <f t="shared" si="9"/>
        <v>2026-05</v>
      </c>
      <c r="E154" s="3">
        <f t="shared" si="10"/>
        <v>8</v>
      </c>
      <c r="F154" s="3" t="str">
        <f t="shared" si="11"/>
        <v>الخميس</v>
      </c>
      <c r="G154" s="3" t="s">
        <v>28</v>
      </c>
      <c r="H154" s="3">
        <v>1</v>
      </c>
      <c r="I154" s="3">
        <v>49</v>
      </c>
      <c r="J154" s="3" t="s">
        <v>23</v>
      </c>
      <c r="K154" s="3" t="s">
        <v>24</v>
      </c>
      <c r="L154" s="3" t="s">
        <v>78</v>
      </c>
      <c r="M154" s="3" t="s">
        <v>26</v>
      </c>
      <c r="N154" s="3" t="s">
        <v>27</v>
      </c>
      <c r="O154" s="19" t="s">
        <v>158</v>
      </c>
    </row>
    <row r="155" spans="1:15">
      <c r="A155" s="3">
        <v>262975271</v>
      </c>
      <c r="B155" s="4">
        <v>46171.0985069444</v>
      </c>
      <c r="C155" s="5">
        <f t="shared" si="8"/>
        <v>46171</v>
      </c>
      <c r="D155" s="3" t="str">
        <f t="shared" si="9"/>
        <v>2026-05</v>
      </c>
      <c r="E155" s="3">
        <f t="shared" si="10"/>
        <v>2</v>
      </c>
      <c r="F155" s="3" t="str">
        <f t="shared" si="11"/>
        <v>الجمعة</v>
      </c>
      <c r="G155" s="3" t="s">
        <v>28</v>
      </c>
      <c r="H155" s="3">
        <v>1</v>
      </c>
      <c r="I155" s="3">
        <v>49</v>
      </c>
      <c r="J155" s="3" t="s">
        <v>23</v>
      </c>
      <c r="K155" s="3" t="s">
        <v>24</v>
      </c>
      <c r="L155" s="3" t="s">
        <v>43</v>
      </c>
      <c r="M155" s="3" t="s">
        <v>26</v>
      </c>
      <c r="N155" s="3" t="s">
        <v>27</v>
      </c>
      <c r="O155" s="19" t="s">
        <v>158</v>
      </c>
    </row>
    <row r="156" spans="1:15">
      <c r="A156" s="3">
        <v>262986182</v>
      </c>
      <c r="B156" s="4">
        <v>46171.163483796299</v>
      </c>
      <c r="C156" s="5">
        <f t="shared" si="8"/>
        <v>46171</v>
      </c>
      <c r="D156" s="3" t="str">
        <f t="shared" si="9"/>
        <v>2026-05</v>
      </c>
      <c r="E156" s="3">
        <f t="shared" si="10"/>
        <v>3</v>
      </c>
      <c r="F156" s="3" t="str">
        <f t="shared" si="11"/>
        <v>الجمعة</v>
      </c>
      <c r="G156" s="3" t="s">
        <v>79</v>
      </c>
      <c r="H156" s="3">
        <v>1</v>
      </c>
      <c r="I156" s="3">
        <v>111</v>
      </c>
      <c r="J156" s="3" t="s">
        <v>23</v>
      </c>
      <c r="K156" s="3" t="s">
        <v>24</v>
      </c>
      <c r="L156" s="3" t="s">
        <v>30</v>
      </c>
      <c r="M156" s="3" t="s">
        <v>26</v>
      </c>
      <c r="N156" s="3" t="s">
        <v>27</v>
      </c>
      <c r="O156" s="19" t="s">
        <v>158</v>
      </c>
    </row>
    <row r="157" spans="1:15">
      <c r="A157" s="3">
        <v>263005789</v>
      </c>
      <c r="B157" s="4">
        <v>46171.334212962996</v>
      </c>
      <c r="C157" s="5">
        <f t="shared" si="8"/>
        <v>46171</v>
      </c>
      <c r="D157" s="3" t="str">
        <f t="shared" si="9"/>
        <v>2026-05</v>
      </c>
      <c r="E157" s="3">
        <f t="shared" si="10"/>
        <v>8</v>
      </c>
      <c r="F157" s="3" t="str">
        <f t="shared" si="11"/>
        <v>الجمعة</v>
      </c>
      <c r="G157" s="3" t="s">
        <v>28</v>
      </c>
      <c r="H157" s="3">
        <v>1</v>
      </c>
      <c r="I157" s="3">
        <v>49</v>
      </c>
      <c r="J157" s="3" t="s">
        <v>23</v>
      </c>
      <c r="K157" s="3" t="s">
        <v>24</v>
      </c>
      <c r="L157" s="3" t="s">
        <v>30</v>
      </c>
      <c r="M157" s="3" t="s">
        <v>26</v>
      </c>
      <c r="N157" s="3" t="s">
        <v>27</v>
      </c>
      <c r="O157" s="19" t="s">
        <v>158</v>
      </c>
    </row>
    <row r="158" spans="1:15">
      <c r="A158" s="3">
        <v>263005789</v>
      </c>
      <c r="B158" s="4">
        <v>46171.334212962996</v>
      </c>
      <c r="C158" s="5">
        <f t="shared" si="8"/>
        <v>46171</v>
      </c>
      <c r="D158" s="3" t="str">
        <f t="shared" si="9"/>
        <v>2026-05</v>
      </c>
      <c r="E158" s="3">
        <f t="shared" si="10"/>
        <v>8</v>
      </c>
      <c r="F158" s="3" t="str">
        <f t="shared" si="11"/>
        <v>الجمعة</v>
      </c>
      <c r="G158" s="3" t="s">
        <v>68</v>
      </c>
      <c r="H158" s="3">
        <v>1</v>
      </c>
      <c r="I158" s="3">
        <v>49</v>
      </c>
      <c r="J158" s="3" t="s">
        <v>23</v>
      </c>
      <c r="K158" s="3" t="s">
        <v>24</v>
      </c>
      <c r="L158" s="3" t="s">
        <v>30</v>
      </c>
      <c r="M158" s="3" t="s">
        <v>26</v>
      </c>
      <c r="N158" s="3" t="s">
        <v>27</v>
      </c>
      <c r="O158" s="19" t="s">
        <v>158</v>
      </c>
    </row>
    <row r="159" spans="1:15">
      <c r="A159" s="3">
        <v>263005789</v>
      </c>
      <c r="B159" s="4">
        <v>46171.334212962996</v>
      </c>
      <c r="C159" s="5">
        <f t="shared" si="8"/>
        <v>46171</v>
      </c>
      <c r="D159" s="3" t="str">
        <f t="shared" si="9"/>
        <v>2026-05</v>
      </c>
      <c r="E159" s="3">
        <f t="shared" si="10"/>
        <v>8</v>
      </c>
      <c r="F159" s="3" t="str">
        <f t="shared" si="11"/>
        <v>الجمعة</v>
      </c>
      <c r="G159" s="3" t="s">
        <v>69</v>
      </c>
      <c r="H159" s="3">
        <v>1</v>
      </c>
      <c r="I159" s="3">
        <v>49</v>
      </c>
      <c r="J159" s="3" t="s">
        <v>23</v>
      </c>
      <c r="K159" s="3" t="s">
        <v>24</v>
      </c>
      <c r="L159" s="3" t="s">
        <v>30</v>
      </c>
      <c r="M159" s="3" t="s">
        <v>26</v>
      </c>
      <c r="N159" s="3" t="s">
        <v>27</v>
      </c>
      <c r="O159" s="19" t="s">
        <v>158</v>
      </c>
    </row>
    <row r="160" spans="1:15">
      <c r="A160" s="3">
        <v>263031363</v>
      </c>
      <c r="B160" s="4">
        <v>46171.583402777796</v>
      </c>
      <c r="C160" s="5">
        <f t="shared" si="8"/>
        <v>46171</v>
      </c>
      <c r="D160" s="3" t="str">
        <f t="shared" si="9"/>
        <v>2026-05</v>
      </c>
      <c r="E160" s="3">
        <f t="shared" si="10"/>
        <v>14</v>
      </c>
      <c r="F160" s="3" t="str">
        <f t="shared" si="11"/>
        <v>الجمعة</v>
      </c>
      <c r="G160" s="3" t="s">
        <v>28</v>
      </c>
      <c r="H160" s="3">
        <v>1</v>
      </c>
      <c r="I160" s="3">
        <v>49.03</v>
      </c>
      <c r="J160" s="3" t="s">
        <v>29</v>
      </c>
      <c r="K160" s="3" t="s">
        <v>24</v>
      </c>
      <c r="L160" s="16" t="s">
        <v>152</v>
      </c>
      <c r="M160" s="3" t="s">
        <v>46</v>
      </c>
      <c r="N160" s="3" t="s">
        <v>27</v>
      </c>
      <c r="O160" s="19" t="s">
        <v>158</v>
      </c>
    </row>
    <row r="161" spans="1:15">
      <c r="A161" s="3">
        <v>263079904</v>
      </c>
      <c r="B161" s="4">
        <v>46171.834351851903</v>
      </c>
      <c r="C161" s="5">
        <f t="shared" si="8"/>
        <v>46171</v>
      </c>
      <c r="D161" s="3" t="str">
        <f t="shared" si="9"/>
        <v>2026-05</v>
      </c>
      <c r="E161" s="3">
        <f t="shared" si="10"/>
        <v>20</v>
      </c>
      <c r="F161" s="3" t="str">
        <f t="shared" si="11"/>
        <v>الجمعة</v>
      </c>
      <c r="G161" s="3" t="s">
        <v>79</v>
      </c>
      <c r="H161" s="3">
        <v>1</v>
      </c>
      <c r="I161" s="3">
        <v>111</v>
      </c>
      <c r="J161" s="3" t="s">
        <v>34</v>
      </c>
      <c r="K161" s="3" t="s">
        <v>24</v>
      </c>
      <c r="L161" s="3" t="s">
        <v>57</v>
      </c>
      <c r="M161" s="3" t="s">
        <v>26</v>
      </c>
      <c r="N161" s="3" t="s">
        <v>27</v>
      </c>
      <c r="O161" s="19" t="s">
        <v>158</v>
      </c>
    </row>
    <row r="162" spans="1:15">
      <c r="A162" s="3">
        <v>263159832</v>
      </c>
      <c r="B162" s="4">
        <v>46172.292222222197</v>
      </c>
      <c r="C162" s="5">
        <f t="shared" si="8"/>
        <v>46172</v>
      </c>
      <c r="D162" s="3" t="str">
        <f t="shared" si="9"/>
        <v>2026-05</v>
      </c>
      <c r="E162" s="3">
        <f t="shared" si="10"/>
        <v>7</v>
      </c>
      <c r="F162" s="3" t="str">
        <f t="shared" si="11"/>
        <v>السبت</v>
      </c>
      <c r="G162" s="3" t="s">
        <v>79</v>
      </c>
      <c r="H162" s="3">
        <v>1</v>
      </c>
      <c r="I162" s="3">
        <v>111</v>
      </c>
      <c r="J162" s="3" t="s">
        <v>29</v>
      </c>
      <c r="K162" s="3" t="s">
        <v>24</v>
      </c>
      <c r="L162" s="3" t="s">
        <v>33</v>
      </c>
      <c r="M162" s="3" t="s">
        <v>26</v>
      </c>
      <c r="N162" s="3" t="s">
        <v>27</v>
      </c>
      <c r="O162" s="19" t="s">
        <v>158</v>
      </c>
    </row>
    <row r="163" spans="1:15">
      <c r="A163" s="3">
        <v>263220369</v>
      </c>
      <c r="B163" s="4">
        <v>46172.729062500002</v>
      </c>
      <c r="C163" s="5">
        <f t="shared" si="8"/>
        <v>46172</v>
      </c>
      <c r="D163" s="3" t="str">
        <f t="shared" si="9"/>
        <v>2026-05</v>
      </c>
      <c r="E163" s="3">
        <f t="shared" si="10"/>
        <v>17</v>
      </c>
      <c r="F163" s="3" t="str">
        <f t="shared" si="11"/>
        <v>السبت</v>
      </c>
      <c r="G163" s="3" t="s">
        <v>28</v>
      </c>
      <c r="H163" s="3">
        <v>1</v>
      </c>
      <c r="I163" s="3">
        <v>49</v>
      </c>
      <c r="J163" s="3" t="s">
        <v>23</v>
      </c>
      <c r="K163" s="3" t="s">
        <v>24</v>
      </c>
      <c r="L163" s="3" t="s">
        <v>30</v>
      </c>
      <c r="M163" s="3" t="s">
        <v>26</v>
      </c>
      <c r="N163" s="3" t="s">
        <v>27</v>
      </c>
      <c r="O163" s="19" t="s">
        <v>158</v>
      </c>
    </row>
    <row r="164" spans="1:15">
      <c r="A164" s="3">
        <v>263304456</v>
      </c>
      <c r="B164" s="4">
        <v>46173.077939814801</v>
      </c>
      <c r="C164" s="5">
        <f t="shared" si="8"/>
        <v>46173</v>
      </c>
      <c r="D164" s="3" t="str">
        <f t="shared" si="9"/>
        <v>2026-05</v>
      </c>
      <c r="E164" s="3">
        <f t="shared" si="10"/>
        <v>1</v>
      </c>
      <c r="F164" s="3" t="str">
        <f t="shared" si="11"/>
        <v>الأحد</v>
      </c>
      <c r="G164" s="3" t="s">
        <v>79</v>
      </c>
      <c r="H164" s="3">
        <v>1</v>
      </c>
      <c r="I164" s="3">
        <v>111</v>
      </c>
      <c r="J164" s="3" t="s">
        <v>23</v>
      </c>
      <c r="K164" s="3" t="s">
        <v>24</v>
      </c>
      <c r="L164" s="3" t="s">
        <v>74</v>
      </c>
      <c r="M164" s="3" t="s">
        <v>26</v>
      </c>
      <c r="N164" s="3" t="s">
        <v>27</v>
      </c>
      <c r="O164" s="19" t="s">
        <v>158</v>
      </c>
    </row>
    <row r="165" spans="1:15">
      <c r="A165" s="3">
        <v>263331540</v>
      </c>
      <c r="B165" s="4">
        <v>46173.242719907401</v>
      </c>
      <c r="C165" s="5">
        <f t="shared" si="8"/>
        <v>46173</v>
      </c>
      <c r="D165" s="3" t="str">
        <f t="shared" si="9"/>
        <v>2026-05</v>
      </c>
      <c r="E165" s="3">
        <f t="shared" si="10"/>
        <v>5</v>
      </c>
      <c r="F165" s="3" t="str">
        <f t="shared" si="11"/>
        <v>الأحد</v>
      </c>
      <c r="G165" s="3" t="s">
        <v>79</v>
      </c>
      <c r="H165" s="3">
        <v>1</v>
      </c>
      <c r="I165" s="3">
        <v>111</v>
      </c>
      <c r="J165" s="3" t="s">
        <v>66</v>
      </c>
      <c r="K165" s="3" t="s">
        <v>24</v>
      </c>
      <c r="L165" s="3" t="s">
        <v>80</v>
      </c>
      <c r="M165" s="3" t="s">
        <v>26</v>
      </c>
      <c r="N165" s="3" t="s">
        <v>27</v>
      </c>
      <c r="O165" s="19" t="s">
        <v>158</v>
      </c>
    </row>
    <row r="166" spans="1:15">
      <c r="A166" s="3">
        <v>263370303</v>
      </c>
      <c r="B166" s="4">
        <v>46173.564907407403</v>
      </c>
      <c r="C166" s="5">
        <f t="shared" si="8"/>
        <v>46173</v>
      </c>
      <c r="D166" s="3" t="str">
        <f t="shared" si="9"/>
        <v>2026-05</v>
      </c>
      <c r="E166" s="3">
        <f t="shared" si="10"/>
        <v>13</v>
      </c>
      <c r="F166" s="3" t="str">
        <f t="shared" si="11"/>
        <v>الأحد</v>
      </c>
      <c r="G166" s="3" t="s">
        <v>79</v>
      </c>
      <c r="H166" s="3">
        <v>1</v>
      </c>
      <c r="I166" s="3">
        <v>111</v>
      </c>
      <c r="J166" s="3" t="s">
        <v>29</v>
      </c>
      <c r="K166" s="3" t="s">
        <v>24</v>
      </c>
      <c r="L166" s="3" t="s">
        <v>63</v>
      </c>
      <c r="M166" s="3" t="s">
        <v>81</v>
      </c>
      <c r="N166" s="3" t="s">
        <v>27</v>
      </c>
      <c r="O166" s="19" t="s">
        <v>158</v>
      </c>
    </row>
    <row r="167" spans="1:15">
      <c r="A167" s="3">
        <v>263418537</v>
      </c>
      <c r="B167" s="4">
        <v>46173.782129629602</v>
      </c>
      <c r="C167" s="5">
        <f t="shared" si="8"/>
        <v>46173</v>
      </c>
      <c r="D167" s="3" t="str">
        <f t="shared" si="9"/>
        <v>2026-05</v>
      </c>
      <c r="E167" s="3">
        <f t="shared" si="10"/>
        <v>18</v>
      </c>
      <c r="F167" s="3" t="str">
        <f t="shared" si="11"/>
        <v>الأحد</v>
      </c>
      <c r="G167" s="3" t="s">
        <v>79</v>
      </c>
      <c r="H167" s="3">
        <v>1</v>
      </c>
      <c r="I167" s="3">
        <v>111</v>
      </c>
      <c r="J167" s="3" t="s">
        <v>62</v>
      </c>
      <c r="K167" s="3" t="s">
        <v>24</v>
      </c>
      <c r="L167" s="3" t="s">
        <v>74</v>
      </c>
      <c r="M167" s="3" t="s">
        <v>26</v>
      </c>
      <c r="N167" s="3" t="s">
        <v>27</v>
      </c>
      <c r="O167" s="19" t="s">
        <v>158</v>
      </c>
    </row>
    <row r="168" spans="1:15">
      <c r="A168" s="3">
        <v>263428152</v>
      </c>
      <c r="B168" s="4">
        <v>46173.821851851899</v>
      </c>
      <c r="C168" s="5">
        <f t="shared" si="8"/>
        <v>46173</v>
      </c>
      <c r="D168" s="3" t="str">
        <f t="shared" si="9"/>
        <v>2026-05</v>
      </c>
      <c r="E168" s="3">
        <f t="shared" si="10"/>
        <v>19</v>
      </c>
      <c r="F168" s="3" t="str">
        <f t="shared" si="11"/>
        <v>الأحد</v>
      </c>
      <c r="G168" s="3" t="s">
        <v>28</v>
      </c>
      <c r="H168" s="3">
        <v>1</v>
      </c>
      <c r="I168" s="3">
        <v>49</v>
      </c>
      <c r="J168" s="3" t="s">
        <v>23</v>
      </c>
      <c r="K168" s="3" t="s">
        <v>24</v>
      </c>
      <c r="L168" s="3" t="s">
        <v>43</v>
      </c>
      <c r="M168" s="3" t="s">
        <v>26</v>
      </c>
      <c r="N168" s="3" t="s">
        <v>27</v>
      </c>
      <c r="O168" s="19" t="s">
        <v>158</v>
      </c>
    </row>
    <row r="169" spans="1:15">
      <c r="A169" s="3">
        <v>263650643</v>
      </c>
      <c r="B169" s="4">
        <v>46174.830277777801</v>
      </c>
      <c r="C169" s="5">
        <f t="shared" si="8"/>
        <v>46174</v>
      </c>
      <c r="D169" s="3" t="str">
        <f t="shared" si="9"/>
        <v>2026-06</v>
      </c>
      <c r="E169" s="3">
        <f t="shared" si="10"/>
        <v>19</v>
      </c>
      <c r="F169" s="3" t="str">
        <f t="shared" si="11"/>
        <v>الإثنين</v>
      </c>
      <c r="G169" s="3" t="s">
        <v>28</v>
      </c>
      <c r="H169" s="3">
        <v>1</v>
      </c>
      <c r="I169" s="3">
        <v>49</v>
      </c>
      <c r="J169" s="3" t="s">
        <v>62</v>
      </c>
      <c r="K169" s="3" t="s">
        <v>24</v>
      </c>
      <c r="L169" s="3" t="s">
        <v>30</v>
      </c>
      <c r="M169" s="3" t="s">
        <v>26</v>
      </c>
      <c r="N169" s="3" t="s">
        <v>27</v>
      </c>
      <c r="O169" s="19" t="s">
        <v>158</v>
      </c>
    </row>
    <row r="170" spans="1:15">
      <c r="A170" s="3">
        <v>263678187</v>
      </c>
      <c r="B170" s="4">
        <v>46174.917743055601</v>
      </c>
      <c r="C170" s="5">
        <f t="shared" si="8"/>
        <v>46174</v>
      </c>
      <c r="D170" s="3" t="str">
        <f t="shared" si="9"/>
        <v>2026-06</v>
      </c>
      <c r="E170" s="3">
        <f t="shared" si="10"/>
        <v>22</v>
      </c>
      <c r="F170" s="3" t="str">
        <f t="shared" si="11"/>
        <v>الإثنين</v>
      </c>
      <c r="G170" s="3" t="s">
        <v>28</v>
      </c>
      <c r="H170" s="3">
        <v>1</v>
      </c>
      <c r="I170" s="3">
        <v>49</v>
      </c>
      <c r="J170" s="3" t="s">
        <v>23</v>
      </c>
      <c r="K170" s="3" t="s">
        <v>24</v>
      </c>
      <c r="L170" s="3" t="s">
        <v>44</v>
      </c>
      <c r="M170" s="3" t="s">
        <v>26</v>
      </c>
      <c r="N170" s="3" t="s">
        <v>27</v>
      </c>
      <c r="O170" s="19" t="s">
        <v>158</v>
      </c>
    </row>
    <row r="171" spans="1:15">
      <c r="A171" s="3">
        <v>263760367</v>
      </c>
      <c r="B171" s="4">
        <v>46175.266087962998</v>
      </c>
      <c r="C171" s="5">
        <f t="shared" si="8"/>
        <v>46175</v>
      </c>
      <c r="D171" s="3" t="str">
        <f t="shared" si="9"/>
        <v>2026-06</v>
      </c>
      <c r="E171" s="3">
        <f t="shared" si="10"/>
        <v>6</v>
      </c>
      <c r="F171" s="3" t="str">
        <f t="shared" si="11"/>
        <v>الثلاثاء</v>
      </c>
      <c r="G171" s="3" t="s">
        <v>79</v>
      </c>
      <c r="H171" s="3">
        <v>1</v>
      </c>
      <c r="I171" s="3">
        <v>111</v>
      </c>
      <c r="J171" s="3" t="s">
        <v>23</v>
      </c>
      <c r="K171" s="3" t="s">
        <v>24</v>
      </c>
      <c r="L171" s="3" t="s">
        <v>30</v>
      </c>
      <c r="M171" s="3" t="s">
        <v>26</v>
      </c>
      <c r="N171" s="3" t="s">
        <v>27</v>
      </c>
      <c r="O171" s="19" t="s">
        <v>158</v>
      </c>
    </row>
    <row r="172" spans="1:15">
      <c r="A172" s="3">
        <v>263820323</v>
      </c>
      <c r="B172" s="4">
        <v>46175.620601851901</v>
      </c>
      <c r="C172" s="5">
        <f t="shared" si="8"/>
        <v>46175</v>
      </c>
      <c r="D172" s="3" t="str">
        <f t="shared" si="9"/>
        <v>2026-06</v>
      </c>
      <c r="E172" s="3">
        <f t="shared" si="10"/>
        <v>14</v>
      </c>
      <c r="F172" s="3" t="str">
        <f t="shared" si="11"/>
        <v>الثلاثاء</v>
      </c>
      <c r="G172" s="3" t="s">
        <v>79</v>
      </c>
      <c r="H172" s="3">
        <v>1</v>
      </c>
      <c r="I172" s="3">
        <v>111</v>
      </c>
      <c r="J172" s="3" t="s">
        <v>29</v>
      </c>
      <c r="K172" s="3" t="s">
        <v>24</v>
      </c>
      <c r="L172" s="3" t="s">
        <v>25</v>
      </c>
      <c r="M172" s="3" t="s">
        <v>26</v>
      </c>
      <c r="N172" s="3" t="s">
        <v>27</v>
      </c>
      <c r="O172" s="19" t="s">
        <v>158</v>
      </c>
    </row>
    <row r="173" spans="1:15">
      <c r="A173" s="3">
        <v>264012261</v>
      </c>
      <c r="B173" s="4">
        <v>46176.492245370398</v>
      </c>
      <c r="C173" s="5">
        <f t="shared" si="8"/>
        <v>46176</v>
      </c>
      <c r="D173" s="3" t="str">
        <f t="shared" si="9"/>
        <v>2026-06</v>
      </c>
      <c r="E173" s="3">
        <f t="shared" si="10"/>
        <v>11</v>
      </c>
      <c r="F173" s="3" t="str">
        <f t="shared" si="11"/>
        <v>الأربعاء</v>
      </c>
      <c r="G173" s="3" t="s">
        <v>28</v>
      </c>
      <c r="H173" s="3">
        <v>1</v>
      </c>
      <c r="I173" s="3">
        <v>49</v>
      </c>
      <c r="J173" s="3" t="s">
        <v>23</v>
      </c>
      <c r="K173" s="3" t="s">
        <v>24</v>
      </c>
      <c r="L173" s="3" t="s">
        <v>44</v>
      </c>
      <c r="M173" s="3" t="s">
        <v>26</v>
      </c>
      <c r="N173" s="3" t="s">
        <v>27</v>
      </c>
      <c r="O173" s="19" t="s">
        <v>158</v>
      </c>
    </row>
    <row r="174" spans="1:15">
      <c r="A174" s="3">
        <v>264027152</v>
      </c>
      <c r="B174" s="4">
        <v>46176.5700462963</v>
      </c>
      <c r="C174" s="5">
        <f t="shared" si="8"/>
        <v>46176</v>
      </c>
      <c r="D174" s="3" t="str">
        <f t="shared" si="9"/>
        <v>2026-06</v>
      </c>
      <c r="E174" s="3">
        <f t="shared" si="10"/>
        <v>13</v>
      </c>
      <c r="F174" s="3" t="str">
        <f t="shared" si="11"/>
        <v>الأربعاء</v>
      </c>
      <c r="G174" s="3" t="s">
        <v>79</v>
      </c>
      <c r="H174" s="3">
        <v>1</v>
      </c>
      <c r="I174" s="3">
        <v>111</v>
      </c>
      <c r="J174" s="3" t="s">
        <v>23</v>
      </c>
      <c r="K174" s="3" t="s">
        <v>24</v>
      </c>
      <c r="L174" s="3" t="s">
        <v>80</v>
      </c>
      <c r="M174" s="3" t="s">
        <v>26</v>
      </c>
      <c r="N174" s="3" t="s">
        <v>27</v>
      </c>
      <c r="O174" s="19" t="s">
        <v>158</v>
      </c>
    </row>
    <row r="175" spans="1:15">
      <c r="A175" s="3">
        <v>264089552</v>
      </c>
      <c r="B175" s="4">
        <v>46176.8296064815</v>
      </c>
      <c r="C175" s="5">
        <f t="shared" si="8"/>
        <v>46176</v>
      </c>
      <c r="D175" s="3" t="str">
        <f t="shared" si="9"/>
        <v>2026-06</v>
      </c>
      <c r="E175" s="3">
        <f t="shared" si="10"/>
        <v>19</v>
      </c>
      <c r="F175" s="3" t="str">
        <f t="shared" si="11"/>
        <v>الأربعاء</v>
      </c>
      <c r="G175" s="3" t="s">
        <v>28</v>
      </c>
      <c r="H175" s="3">
        <v>1</v>
      </c>
      <c r="I175" s="3">
        <v>49</v>
      </c>
      <c r="J175" s="3" t="s">
        <v>29</v>
      </c>
      <c r="K175" s="3" t="s">
        <v>24</v>
      </c>
      <c r="L175" s="3" t="s">
        <v>30</v>
      </c>
      <c r="M175" s="3" t="s">
        <v>26</v>
      </c>
      <c r="N175" s="3" t="s">
        <v>27</v>
      </c>
      <c r="O175" s="19" t="s">
        <v>158</v>
      </c>
    </row>
    <row r="176" spans="1:15">
      <c r="A176" s="3">
        <v>264148224</v>
      </c>
      <c r="B176" s="4">
        <v>46177.0410416667</v>
      </c>
      <c r="C176" s="5">
        <f t="shared" si="8"/>
        <v>46177</v>
      </c>
      <c r="D176" s="3" t="str">
        <f t="shared" si="9"/>
        <v>2026-06</v>
      </c>
      <c r="E176" s="3">
        <f t="shared" si="10"/>
        <v>0</v>
      </c>
      <c r="F176" s="3" t="str">
        <f t="shared" si="11"/>
        <v>الخميس</v>
      </c>
      <c r="G176" s="3" t="s">
        <v>79</v>
      </c>
      <c r="H176" s="3">
        <v>1</v>
      </c>
      <c r="I176" s="3">
        <v>111</v>
      </c>
      <c r="J176" s="3" t="s">
        <v>23</v>
      </c>
      <c r="K176" s="3" t="s">
        <v>24</v>
      </c>
      <c r="L176" s="3" t="s">
        <v>43</v>
      </c>
      <c r="M176" s="3" t="s">
        <v>26</v>
      </c>
      <c r="N176" s="3" t="s">
        <v>27</v>
      </c>
      <c r="O176" s="19" t="s">
        <v>158</v>
      </c>
    </row>
    <row r="177" spans="1:15">
      <c r="A177" s="3">
        <v>264201273</v>
      </c>
      <c r="B177" s="4">
        <v>46177.387106481503</v>
      </c>
      <c r="C177" s="5">
        <f t="shared" si="8"/>
        <v>46177</v>
      </c>
      <c r="D177" s="3" t="str">
        <f t="shared" si="9"/>
        <v>2026-06</v>
      </c>
      <c r="E177" s="3">
        <f t="shared" si="10"/>
        <v>9</v>
      </c>
      <c r="F177" s="3" t="str">
        <f t="shared" si="11"/>
        <v>الخميس</v>
      </c>
      <c r="G177" s="3" t="s">
        <v>28</v>
      </c>
      <c r="H177" s="3">
        <v>1</v>
      </c>
      <c r="I177" s="3">
        <v>49</v>
      </c>
      <c r="J177" s="3" t="s">
        <v>62</v>
      </c>
      <c r="K177" s="3" t="s">
        <v>24</v>
      </c>
      <c r="L177" s="3" t="s">
        <v>82</v>
      </c>
      <c r="M177" s="3" t="s">
        <v>26</v>
      </c>
      <c r="N177" s="3" t="s">
        <v>27</v>
      </c>
      <c r="O177" s="19" t="s">
        <v>158</v>
      </c>
    </row>
    <row r="178" spans="1:15">
      <c r="A178" s="3">
        <v>264249267</v>
      </c>
      <c r="B178" s="4">
        <v>46177.658518518503</v>
      </c>
      <c r="C178" s="5">
        <f t="shared" si="8"/>
        <v>46177</v>
      </c>
      <c r="D178" s="3" t="str">
        <f t="shared" si="9"/>
        <v>2026-06</v>
      </c>
      <c r="E178" s="3">
        <f t="shared" si="10"/>
        <v>15</v>
      </c>
      <c r="F178" s="3" t="str">
        <f t="shared" si="11"/>
        <v>الخميس</v>
      </c>
      <c r="G178" s="3" t="s">
        <v>28</v>
      </c>
      <c r="H178" s="3">
        <v>1</v>
      </c>
      <c r="I178" s="3">
        <v>49</v>
      </c>
      <c r="J178" s="3" t="s">
        <v>23</v>
      </c>
      <c r="K178" s="3" t="s">
        <v>24</v>
      </c>
      <c r="L178" s="3" t="s">
        <v>83</v>
      </c>
      <c r="M178" s="3" t="s">
        <v>26</v>
      </c>
      <c r="N178" s="3" t="s">
        <v>27</v>
      </c>
      <c r="O178" s="19" t="s">
        <v>158</v>
      </c>
    </row>
    <row r="179" spans="1:15">
      <c r="A179" s="3">
        <v>264373628</v>
      </c>
      <c r="B179" s="4">
        <v>46178.215567129599</v>
      </c>
      <c r="C179" s="5">
        <f t="shared" si="8"/>
        <v>46178</v>
      </c>
      <c r="D179" s="3" t="str">
        <f t="shared" si="9"/>
        <v>2026-06</v>
      </c>
      <c r="E179" s="3">
        <f t="shared" si="10"/>
        <v>5</v>
      </c>
      <c r="F179" s="3" t="str">
        <f t="shared" si="11"/>
        <v>الجمعة</v>
      </c>
      <c r="G179" s="3" t="s">
        <v>28</v>
      </c>
      <c r="H179" s="3">
        <v>1</v>
      </c>
      <c r="I179" s="3">
        <v>39</v>
      </c>
      <c r="J179" s="3" t="s">
        <v>23</v>
      </c>
      <c r="K179" s="3" t="s">
        <v>24</v>
      </c>
      <c r="L179" s="3" t="s">
        <v>43</v>
      </c>
      <c r="M179" s="3" t="s">
        <v>26</v>
      </c>
      <c r="N179" s="3" t="s">
        <v>27</v>
      </c>
      <c r="O179" s="19" t="s">
        <v>158</v>
      </c>
    </row>
    <row r="180" spans="1:15">
      <c r="A180" s="3">
        <v>264387316</v>
      </c>
      <c r="B180" s="4">
        <v>46178.332719907397</v>
      </c>
      <c r="C180" s="5">
        <f t="shared" si="8"/>
        <v>46178</v>
      </c>
      <c r="D180" s="3" t="str">
        <f t="shared" si="9"/>
        <v>2026-06</v>
      </c>
      <c r="E180" s="3">
        <f t="shared" si="10"/>
        <v>7</v>
      </c>
      <c r="F180" s="3" t="str">
        <f t="shared" si="11"/>
        <v>الجمعة</v>
      </c>
      <c r="G180" s="3" t="s">
        <v>79</v>
      </c>
      <c r="H180" s="3">
        <v>1</v>
      </c>
      <c r="I180" s="3">
        <v>85</v>
      </c>
      <c r="J180" s="3" t="s">
        <v>23</v>
      </c>
      <c r="K180" s="3" t="s">
        <v>24</v>
      </c>
      <c r="L180" s="3" t="s">
        <v>84</v>
      </c>
      <c r="M180" s="3" t="s">
        <v>26</v>
      </c>
      <c r="N180" s="3" t="s">
        <v>27</v>
      </c>
      <c r="O180" s="19" t="s">
        <v>158</v>
      </c>
    </row>
    <row r="181" spans="1:15">
      <c r="A181" s="3">
        <v>264511536</v>
      </c>
      <c r="B181" s="4">
        <v>46178.947407407402</v>
      </c>
      <c r="C181" s="5">
        <f t="shared" si="8"/>
        <v>46178</v>
      </c>
      <c r="D181" s="3" t="str">
        <f t="shared" si="9"/>
        <v>2026-06</v>
      </c>
      <c r="E181" s="3">
        <f t="shared" si="10"/>
        <v>22</v>
      </c>
      <c r="F181" s="3" t="str">
        <f t="shared" si="11"/>
        <v>الجمعة</v>
      </c>
      <c r="G181" s="3" t="s">
        <v>28</v>
      </c>
      <c r="H181" s="3">
        <v>1</v>
      </c>
      <c r="I181" s="3">
        <v>39</v>
      </c>
      <c r="J181" s="3" t="s">
        <v>23</v>
      </c>
      <c r="K181" s="3" t="s">
        <v>24</v>
      </c>
      <c r="L181" s="3" t="s">
        <v>85</v>
      </c>
      <c r="M181" s="3" t="s">
        <v>26</v>
      </c>
      <c r="N181" s="3" t="s">
        <v>27</v>
      </c>
      <c r="O181" s="19" t="s">
        <v>157</v>
      </c>
    </row>
    <row r="182" spans="1:15">
      <c r="A182" s="3">
        <v>264523481</v>
      </c>
      <c r="B182" s="4">
        <v>46178.999756944497</v>
      </c>
      <c r="C182" s="5">
        <f t="shared" si="8"/>
        <v>46178</v>
      </c>
      <c r="D182" s="3" t="str">
        <f t="shared" si="9"/>
        <v>2026-06</v>
      </c>
      <c r="E182" s="3">
        <f t="shared" si="10"/>
        <v>23</v>
      </c>
      <c r="F182" s="3" t="str">
        <f t="shared" si="11"/>
        <v>الجمعة</v>
      </c>
      <c r="G182" s="3" t="s">
        <v>28</v>
      </c>
      <c r="H182" s="3">
        <v>1</v>
      </c>
      <c r="I182" s="3">
        <v>39</v>
      </c>
      <c r="J182" s="3" t="s">
        <v>23</v>
      </c>
      <c r="K182" s="3" t="s">
        <v>24</v>
      </c>
      <c r="L182" s="3" t="s">
        <v>30</v>
      </c>
      <c r="M182" s="3" t="s">
        <v>26</v>
      </c>
      <c r="N182" s="3" t="s">
        <v>27</v>
      </c>
      <c r="O182" s="19" t="s">
        <v>157</v>
      </c>
    </row>
    <row r="183" spans="1:15">
      <c r="A183" s="3">
        <v>264538233</v>
      </c>
      <c r="B183" s="4">
        <v>46179.064594907402</v>
      </c>
      <c r="C183" s="5">
        <f t="shared" si="8"/>
        <v>46179</v>
      </c>
      <c r="D183" s="3" t="str">
        <f t="shared" si="9"/>
        <v>2026-06</v>
      </c>
      <c r="E183" s="3">
        <f t="shared" si="10"/>
        <v>1</v>
      </c>
      <c r="F183" s="3" t="str">
        <f t="shared" si="11"/>
        <v>السبت</v>
      </c>
      <c r="G183" s="3" t="s">
        <v>79</v>
      </c>
      <c r="H183" s="3">
        <v>1</v>
      </c>
      <c r="I183" s="3">
        <v>85</v>
      </c>
      <c r="J183" s="3" t="s">
        <v>23</v>
      </c>
      <c r="K183" s="3" t="s">
        <v>24</v>
      </c>
      <c r="L183" s="3" t="s">
        <v>30</v>
      </c>
      <c r="M183" s="3" t="s">
        <v>26</v>
      </c>
      <c r="N183" s="3" t="s">
        <v>27</v>
      </c>
      <c r="O183" s="19" t="s">
        <v>158</v>
      </c>
    </row>
    <row r="184" spans="1:15">
      <c r="A184" s="3">
        <v>264942559</v>
      </c>
      <c r="B184" s="4">
        <v>46181.233854166698</v>
      </c>
      <c r="C184" s="5">
        <f t="shared" si="8"/>
        <v>46181</v>
      </c>
      <c r="D184" s="3" t="str">
        <f t="shared" si="9"/>
        <v>2026-06</v>
      </c>
      <c r="E184" s="3">
        <f t="shared" si="10"/>
        <v>5</v>
      </c>
      <c r="F184" s="3" t="str">
        <f t="shared" si="11"/>
        <v>الإثنين</v>
      </c>
      <c r="G184" s="3" t="s">
        <v>79</v>
      </c>
      <c r="H184" s="3">
        <v>1</v>
      </c>
      <c r="I184" s="3">
        <v>85</v>
      </c>
      <c r="J184" s="3" t="s">
        <v>23</v>
      </c>
      <c r="K184" s="3" t="s">
        <v>24</v>
      </c>
      <c r="L184" s="3" t="s">
        <v>37</v>
      </c>
      <c r="M184" s="3" t="s">
        <v>26</v>
      </c>
      <c r="N184" s="3" t="s">
        <v>27</v>
      </c>
      <c r="O184" s="19" t="s">
        <v>158</v>
      </c>
    </row>
    <row r="185" spans="1:15">
      <c r="A185" s="3">
        <v>265259801</v>
      </c>
      <c r="B185" s="4">
        <v>46182.936666666697</v>
      </c>
      <c r="C185" s="5">
        <f t="shared" si="8"/>
        <v>46182</v>
      </c>
      <c r="D185" s="3" t="str">
        <f t="shared" si="9"/>
        <v>2026-06</v>
      </c>
      <c r="E185" s="3">
        <f t="shared" si="10"/>
        <v>22</v>
      </c>
      <c r="F185" s="3" t="str">
        <f t="shared" si="11"/>
        <v>الثلاثاء</v>
      </c>
      <c r="G185" s="3" t="s">
        <v>79</v>
      </c>
      <c r="H185" s="3">
        <v>1</v>
      </c>
      <c r="I185" s="3">
        <v>85</v>
      </c>
      <c r="J185" s="3" t="s">
        <v>66</v>
      </c>
      <c r="K185" s="3" t="s">
        <v>24</v>
      </c>
      <c r="L185" s="3" t="s">
        <v>30</v>
      </c>
      <c r="M185" s="3" t="s">
        <v>26</v>
      </c>
      <c r="N185" s="3" t="s">
        <v>27</v>
      </c>
      <c r="O185" s="19" t="s">
        <v>158</v>
      </c>
    </row>
    <row r="186" spans="1:15">
      <c r="A186" s="3">
        <v>266046153</v>
      </c>
      <c r="B186" s="4">
        <v>46186.125428240703</v>
      </c>
      <c r="C186" s="5">
        <f t="shared" si="8"/>
        <v>46186</v>
      </c>
      <c r="D186" s="3" t="str">
        <f t="shared" si="9"/>
        <v>2026-06</v>
      </c>
      <c r="E186" s="3">
        <f t="shared" si="10"/>
        <v>3</v>
      </c>
      <c r="F186" s="3" t="str">
        <f t="shared" si="11"/>
        <v>السبت</v>
      </c>
      <c r="G186" s="3" t="s">
        <v>79</v>
      </c>
      <c r="H186" s="3">
        <v>1</v>
      </c>
      <c r="I186" s="3">
        <v>85</v>
      </c>
      <c r="J186" s="3" t="s">
        <v>23</v>
      </c>
      <c r="K186" s="3" t="s">
        <v>24</v>
      </c>
      <c r="L186" s="3" t="s">
        <v>78</v>
      </c>
      <c r="M186" s="3" t="s">
        <v>26</v>
      </c>
      <c r="N186" s="3" t="s">
        <v>27</v>
      </c>
      <c r="O186" s="19" t="s">
        <v>158</v>
      </c>
    </row>
    <row r="187" spans="1:15">
      <c r="A187" s="3">
        <v>266248672</v>
      </c>
      <c r="B187" s="4">
        <v>46187.216724537</v>
      </c>
      <c r="C187" s="5">
        <f t="shared" si="8"/>
        <v>46187</v>
      </c>
      <c r="D187" s="3" t="str">
        <f t="shared" si="9"/>
        <v>2026-06</v>
      </c>
      <c r="E187" s="3">
        <f t="shared" si="10"/>
        <v>5</v>
      </c>
      <c r="F187" s="3" t="str">
        <f t="shared" si="11"/>
        <v>الأحد</v>
      </c>
      <c r="G187" s="3" t="s">
        <v>79</v>
      </c>
      <c r="H187" s="3">
        <v>1</v>
      </c>
      <c r="I187" s="3">
        <v>85</v>
      </c>
      <c r="J187" s="3" t="s">
        <v>23</v>
      </c>
      <c r="K187" s="3" t="s">
        <v>24</v>
      </c>
      <c r="L187" s="3" t="s">
        <v>41</v>
      </c>
      <c r="M187" s="3" t="s">
        <v>26</v>
      </c>
      <c r="N187" s="3" t="s">
        <v>27</v>
      </c>
      <c r="O187" s="19" t="s">
        <v>158</v>
      </c>
    </row>
    <row r="188" spans="1:15">
      <c r="A188" s="3">
        <v>266723761</v>
      </c>
      <c r="B188" s="4">
        <v>46188.108009259297</v>
      </c>
      <c r="C188" s="5">
        <f t="shared" si="8"/>
        <v>46188</v>
      </c>
      <c r="D188" s="3" t="str">
        <f t="shared" si="9"/>
        <v>2026-06</v>
      </c>
      <c r="E188" s="3">
        <f t="shared" si="10"/>
        <v>2</v>
      </c>
      <c r="F188" s="3" t="str">
        <f t="shared" si="11"/>
        <v>الإثنين</v>
      </c>
      <c r="G188" s="3" t="s">
        <v>79</v>
      </c>
      <c r="H188" s="3">
        <v>1</v>
      </c>
      <c r="I188" s="3">
        <v>85</v>
      </c>
      <c r="J188" s="3" t="s">
        <v>66</v>
      </c>
      <c r="K188" s="3" t="s">
        <v>24</v>
      </c>
      <c r="L188" s="3" t="s">
        <v>30</v>
      </c>
      <c r="M188" s="3" t="s">
        <v>26</v>
      </c>
      <c r="N188" s="3" t="s">
        <v>27</v>
      </c>
      <c r="O188" s="19" t="s">
        <v>158</v>
      </c>
    </row>
    <row r="189" spans="1:15">
      <c r="A189" s="3">
        <v>266736597</v>
      </c>
      <c r="B189" s="4">
        <v>46188.222303240698</v>
      </c>
      <c r="C189" s="5">
        <f t="shared" si="8"/>
        <v>46188</v>
      </c>
      <c r="D189" s="3" t="str">
        <f t="shared" si="9"/>
        <v>2026-06</v>
      </c>
      <c r="E189" s="3">
        <f t="shared" si="10"/>
        <v>5</v>
      </c>
      <c r="F189" s="3" t="str">
        <f t="shared" si="11"/>
        <v>الإثنين</v>
      </c>
      <c r="G189" s="3" t="s">
        <v>79</v>
      </c>
      <c r="H189" s="3">
        <v>1</v>
      </c>
      <c r="I189" s="3">
        <v>85</v>
      </c>
      <c r="J189" s="3" t="s">
        <v>62</v>
      </c>
      <c r="K189" s="3" t="s">
        <v>24</v>
      </c>
      <c r="L189" s="3" t="s">
        <v>86</v>
      </c>
      <c r="M189" s="3" t="s">
        <v>26</v>
      </c>
      <c r="N189" s="3" t="s">
        <v>27</v>
      </c>
      <c r="O189" s="19" t="s">
        <v>158</v>
      </c>
    </row>
    <row r="190" spans="1:15">
      <c r="A190" s="3">
        <v>266981845</v>
      </c>
      <c r="B190" s="4">
        <v>46189.693263888897</v>
      </c>
      <c r="C190" s="5">
        <f t="shared" si="8"/>
        <v>46189</v>
      </c>
      <c r="D190" s="3" t="str">
        <f t="shared" si="9"/>
        <v>2026-06</v>
      </c>
      <c r="E190" s="3">
        <f t="shared" si="10"/>
        <v>16</v>
      </c>
      <c r="F190" s="3" t="str">
        <f t="shared" si="11"/>
        <v>الثلاثاء</v>
      </c>
      <c r="G190" s="3" t="s">
        <v>28</v>
      </c>
      <c r="H190" s="3">
        <v>1</v>
      </c>
      <c r="I190" s="3">
        <v>49</v>
      </c>
      <c r="J190" s="3" t="s">
        <v>66</v>
      </c>
      <c r="K190" s="3" t="s">
        <v>24</v>
      </c>
      <c r="L190" s="3" t="s">
        <v>30</v>
      </c>
      <c r="M190" s="3" t="s">
        <v>26</v>
      </c>
      <c r="N190" s="3" t="s">
        <v>27</v>
      </c>
      <c r="O190" s="19" t="s">
        <v>158</v>
      </c>
    </row>
    <row r="191" spans="1:15">
      <c r="A191" s="3">
        <v>267245594</v>
      </c>
      <c r="B191" s="4">
        <v>46191.205462963</v>
      </c>
      <c r="C191" s="5">
        <f t="shared" si="8"/>
        <v>46191</v>
      </c>
      <c r="D191" s="3" t="str">
        <f t="shared" si="9"/>
        <v>2026-06</v>
      </c>
      <c r="E191" s="3">
        <f t="shared" si="10"/>
        <v>4</v>
      </c>
      <c r="F191" s="3" t="str">
        <f t="shared" si="11"/>
        <v>الخميس</v>
      </c>
      <c r="G191" s="3" t="s">
        <v>28</v>
      </c>
      <c r="H191" s="3">
        <v>1</v>
      </c>
      <c r="I191" s="3">
        <v>49</v>
      </c>
      <c r="J191" s="3" t="s">
        <v>23</v>
      </c>
      <c r="K191" s="3" t="s">
        <v>24</v>
      </c>
      <c r="L191" s="3" t="s">
        <v>44</v>
      </c>
      <c r="M191" s="3" t="s">
        <v>26</v>
      </c>
      <c r="N191" s="3" t="s">
        <v>27</v>
      </c>
      <c r="O191" s="19" t="s">
        <v>158</v>
      </c>
    </row>
    <row r="192" spans="1:15">
      <c r="A192" s="3">
        <v>267266965</v>
      </c>
      <c r="B192" s="4">
        <v>46191.429004629601</v>
      </c>
      <c r="C192" s="5">
        <f t="shared" si="8"/>
        <v>46191</v>
      </c>
      <c r="D192" s="3" t="str">
        <f t="shared" si="9"/>
        <v>2026-06</v>
      </c>
      <c r="E192" s="3">
        <f t="shared" si="10"/>
        <v>10</v>
      </c>
      <c r="F192" s="3" t="str">
        <f t="shared" si="11"/>
        <v>الخميس</v>
      </c>
      <c r="G192" s="3" t="s">
        <v>28</v>
      </c>
      <c r="H192" s="3">
        <v>1</v>
      </c>
      <c r="I192" s="3">
        <v>49</v>
      </c>
      <c r="J192" s="3" t="s">
        <v>29</v>
      </c>
      <c r="K192" s="3" t="s">
        <v>24</v>
      </c>
      <c r="L192" s="3" t="s">
        <v>25</v>
      </c>
      <c r="M192" s="3" t="s">
        <v>26</v>
      </c>
      <c r="N192" s="3" t="s">
        <v>27</v>
      </c>
      <c r="O192" s="19" t="s">
        <v>158</v>
      </c>
    </row>
    <row r="193" spans="1:15">
      <c r="A193" s="3">
        <v>267281321</v>
      </c>
      <c r="B193" s="4">
        <v>46191.536840277797</v>
      </c>
      <c r="C193" s="5">
        <f t="shared" si="8"/>
        <v>46191</v>
      </c>
      <c r="D193" s="3" t="str">
        <f t="shared" si="9"/>
        <v>2026-06</v>
      </c>
      <c r="E193" s="3">
        <f t="shared" si="10"/>
        <v>12</v>
      </c>
      <c r="F193" s="3" t="str">
        <f t="shared" si="11"/>
        <v>الخميس</v>
      </c>
      <c r="G193" s="3" t="s">
        <v>79</v>
      </c>
      <c r="H193" s="3">
        <v>1</v>
      </c>
      <c r="I193" s="3">
        <v>85</v>
      </c>
      <c r="J193" s="3" t="s">
        <v>29</v>
      </c>
      <c r="K193" s="3" t="s">
        <v>24</v>
      </c>
      <c r="L193" s="3" t="s">
        <v>37</v>
      </c>
      <c r="M193" s="3" t="s">
        <v>26</v>
      </c>
      <c r="N193" s="3" t="s">
        <v>27</v>
      </c>
      <c r="O193" s="19" t="s">
        <v>158</v>
      </c>
    </row>
    <row r="194" spans="1:15">
      <c r="A194" s="3">
        <v>267323831</v>
      </c>
      <c r="B194" s="4">
        <v>46191.773229166698</v>
      </c>
      <c r="C194" s="5">
        <f t="shared" ref="C194:C257" si="12">INT(B194)</f>
        <v>46191</v>
      </c>
      <c r="D194" s="3" t="str">
        <f t="shared" ref="D194:D257" si="13">TEXT(B194,"yyyy-mm")</f>
        <v>2026-06</v>
      </c>
      <c r="E194" s="3">
        <f t="shared" ref="E194:E257" si="14">HOUR(B194)</f>
        <v>18</v>
      </c>
      <c r="F194" s="3" t="str">
        <f t="shared" ref="F194:F257" si="15">CHOOSE(WEEKDAY(B194,2),"الإثنين","الثلاثاء","الأربعاء","الخميس","الجمعة","السبت","الأحد")</f>
        <v>الخميس</v>
      </c>
      <c r="G194" s="3" t="s">
        <v>28</v>
      </c>
      <c r="H194" s="3">
        <v>1</v>
      </c>
      <c r="I194" s="3">
        <v>49</v>
      </c>
      <c r="J194" s="3" t="s">
        <v>23</v>
      </c>
      <c r="K194" s="3" t="s">
        <v>24</v>
      </c>
      <c r="L194" s="3" t="s">
        <v>25</v>
      </c>
      <c r="M194" s="3" t="s">
        <v>26</v>
      </c>
      <c r="N194" s="3" t="s">
        <v>27</v>
      </c>
      <c r="O194" s="19" t="s">
        <v>158</v>
      </c>
    </row>
    <row r="195" spans="1:15">
      <c r="A195" s="3">
        <v>267364957</v>
      </c>
      <c r="B195" s="4">
        <v>46191.977789351899</v>
      </c>
      <c r="C195" s="5">
        <f t="shared" si="12"/>
        <v>46191</v>
      </c>
      <c r="D195" s="3" t="str">
        <f t="shared" si="13"/>
        <v>2026-06</v>
      </c>
      <c r="E195" s="3">
        <f t="shared" si="14"/>
        <v>23</v>
      </c>
      <c r="F195" s="3" t="str">
        <f t="shared" si="15"/>
        <v>الخميس</v>
      </c>
      <c r="G195" s="3" t="s">
        <v>79</v>
      </c>
      <c r="H195" s="3">
        <v>1</v>
      </c>
      <c r="I195" s="3">
        <v>85</v>
      </c>
      <c r="J195" s="3" t="s">
        <v>29</v>
      </c>
      <c r="K195" s="3" t="s">
        <v>24</v>
      </c>
      <c r="L195" s="3" t="s">
        <v>30</v>
      </c>
      <c r="M195" s="3" t="s">
        <v>26</v>
      </c>
      <c r="N195" s="3" t="s">
        <v>27</v>
      </c>
      <c r="O195" s="19" t="s">
        <v>157</v>
      </c>
    </row>
    <row r="196" spans="1:15">
      <c r="A196" s="3">
        <v>267491594</v>
      </c>
      <c r="B196" s="4">
        <v>46192.8425347222</v>
      </c>
      <c r="C196" s="5">
        <f t="shared" si="12"/>
        <v>46192</v>
      </c>
      <c r="D196" s="3" t="str">
        <f t="shared" si="13"/>
        <v>2026-06</v>
      </c>
      <c r="E196" s="3">
        <f t="shared" si="14"/>
        <v>20</v>
      </c>
      <c r="F196" s="3" t="str">
        <f t="shared" si="15"/>
        <v>الجمعة</v>
      </c>
      <c r="G196" s="3" t="s">
        <v>79</v>
      </c>
      <c r="H196" s="3">
        <v>1</v>
      </c>
      <c r="I196" s="3">
        <v>85</v>
      </c>
      <c r="J196" s="3" t="s">
        <v>23</v>
      </c>
      <c r="K196" s="3" t="s">
        <v>24</v>
      </c>
      <c r="L196" s="3" t="s">
        <v>30</v>
      </c>
      <c r="M196" s="3" t="s">
        <v>26</v>
      </c>
      <c r="N196" s="3" t="s">
        <v>27</v>
      </c>
      <c r="O196" s="19" t="s">
        <v>158</v>
      </c>
    </row>
    <row r="197" spans="1:15">
      <c r="A197" s="3">
        <v>267590156</v>
      </c>
      <c r="B197" s="4">
        <v>46193.566018518497</v>
      </c>
      <c r="C197" s="5">
        <f t="shared" si="12"/>
        <v>46193</v>
      </c>
      <c r="D197" s="3" t="str">
        <f t="shared" si="13"/>
        <v>2026-06</v>
      </c>
      <c r="E197" s="3">
        <f t="shared" si="14"/>
        <v>13</v>
      </c>
      <c r="F197" s="3" t="str">
        <f t="shared" si="15"/>
        <v>السبت</v>
      </c>
      <c r="G197" s="3" t="s">
        <v>79</v>
      </c>
      <c r="H197" s="3">
        <v>1</v>
      </c>
      <c r="I197" s="3">
        <v>85</v>
      </c>
      <c r="J197" s="3" t="s">
        <v>29</v>
      </c>
      <c r="K197" s="3" t="s">
        <v>24</v>
      </c>
      <c r="L197" s="3" t="s">
        <v>87</v>
      </c>
      <c r="M197" s="3" t="s">
        <v>26</v>
      </c>
      <c r="N197" s="3" t="s">
        <v>27</v>
      </c>
      <c r="O197" s="19" t="s">
        <v>158</v>
      </c>
    </row>
    <row r="198" spans="1:15">
      <c r="A198" s="3">
        <v>267601518</v>
      </c>
      <c r="B198" s="4">
        <v>46193.629189814797</v>
      </c>
      <c r="C198" s="5">
        <f t="shared" si="12"/>
        <v>46193</v>
      </c>
      <c r="D198" s="3" t="str">
        <f t="shared" si="13"/>
        <v>2026-06</v>
      </c>
      <c r="E198" s="3">
        <f t="shared" si="14"/>
        <v>15</v>
      </c>
      <c r="F198" s="3" t="str">
        <f t="shared" si="15"/>
        <v>السبت</v>
      </c>
      <c r="G198" s="3" t="s">
        <v>79</v>
      </c>
      <c r="H198" s="3">
        <v>1</v>
      </c>
      <c r="I198" s="3">
        <v>85</v>
      </c>
      <c r="J198" s="3" t="s">
        <v>23</v>
      </c>
      <c r="K198" s="3" t="s">
        <v>24</v>
      </c>
      <c r="L198" s="3" t="s">
        <v>25</v>
      </c>
      <c r="M198" s="3" t="s">
        <v>26</v>
      </c>
      <c r="N198" s="3" t="s">
        <v>27</v>
      </c>
      <c r="O198" s="19" t="s">
        <v>158</v>
      </c>
    </row>
    <row r="199" spans="1:15">
      <c r="A199" s="3">
        <v>267611428</v>
      </c>
      <c r="B199" s="4">
        <v>46193.681585648199</v>
      </c>
      <c r="C199" s="5">
        <f t="shared" si="12"/>
        <v>46193</v>
      </c>
      <c r="D199" s="3" t="str">
        <f t="shared" si="13"/>
        <v>2026-06</v>
      </c>
      <c r="E199" s="3">
        <f t="shared" si="14"/>
        <v>16</v>
      </c>
      <c r="F199" s="3" t="str">
        <f t="shared" si="15"/>
        <v>السبت</v>
      </c>
      <c r="G199" s="3" t="s">
        <v>79</v>
      </c>
      <c r="H199" s="3">
        <v>1</v>
      </c>
      <c r="I199" s="3">
        <v>85</v>
      </c>
      <c r="J199" s="3" t="s">
        <v>23</v>
      </c>
      <c r="K199" s="3" t="s">
        <v>24</v>
      </c>
      <c r="L199" s="3" t="s">
        <v>30</v>
      </c>
      <c r="M199" s="3" t="s">
        <v>26</v>
      </c>
      <c r="N199" s="3" t="s">
        <v>27</v>
      </c>
      <c r="O199" s="19" t="s">
        <v>158</v>
      </c>
    </row>
    <row r="200" spans="1:15">
      <c r="A200" s="3">
        <v>267700394</v>
      </c>
      <c r="B200" s="4">
        <v>46194.129004629598</v>
      </c>
      <c r="C200" s="5">
        <f t="shared" si="12"/>
        <v>46194</v>
      </c>
      <c r="D200" s="3" t="str">
        <f t="shared" si="13"/>
        <v>2026-06</v>
      </c>
      <c r="E200" s="3">
        <f t="shared" si="14"/>
        <v>3</v>
      </c>
      <c r="F200" s="3" t="str">
        <f t="shared" si="15"/>
        <v>الأحد</v>
      </c>
      <c r="G200" s="3" t="s">
        <v>28</v>
      </c>
      <c r="H200" s="3">
        <v>1</v>
      </c>
      <c r="I200" s="3">
        <v>49</v>
      </c>
      <c r="J200" s="3" t="s">
        <v>29</v>
      </c>
      <c r="K200" s="3" t="s">
        <v>24</v>
      </c>
      <c r="L200" s="3" t="s">
        <v>30</v>
      </c>
      <c r="M200" s="3" t="s">
        <v>26</v>
      </c>
      <c r="N200" s="3" t="s">
        <v>27</v>
      </c>
      <c r="O200" s="19" t="s">
        <v>158</v>
      </c>
    </row>
    <row r="201" spans="1:15">
      <c r="A201" s="3">
        <v>267700394</v>
      </c>
      <c r="B201" s="4">
        <v>46194.129004629598</v>
      </c>
      <c r="C201" s="5">
        <f t="shared" si="12"/>
        <v>46194</v>
      </c>
      <c r="D201" s="3" t="str">
        <f t="shared" si="13"/>
        <v>2026-06</v>
      </c>
      <c r="E201" s="3">
        <f t="shared" si="14"/>
        <v>3</v>
      </c>
      <c r="F201" s="3" t="str">
        <f t="shared" si="15"/>
        <v>الأحد</v>
      </c>
      <c r="G201" s="3" t="s">
        <v>68</v>
      </c>
      <c r="H201" s="3">
        <v>1</v>
      </c>
      <c r="I201" s="3">
        <v>39</v>
      </c>
      <c r="J201" s="3" t="s">
        <v>29</v>
      </c>
      <c r="K201" s="3" t="s">
        <v>24</v>
      </c>
      <c r="L201" s="3" t="s">
        <v>30</v>
      </c>
      <c r="M201" s="3" t="s">
        <v>26</v>
      </c>
      <c r="N201" s="3" t="s">
        <v>27</v>
      </c>
      <c r="O201" s="19" t="s">
        <v>158</v>
      </c>
    </row>
    <row r="202" spans="1:15">
      <c r="A202" s="3">
        <v>267700577</v>
      </c>
      <c r="B202" s="4">
        <v>46194.130543981497</v>
      </c>
      <c r="C202" s="5">
        <f t="shared" si="12"/>
        <v>46194</v>
      </c>
      <c r="D202" s="3" t="str">
        <f t="shared" si="13"/>
        <v>2026-06</v>
      </c>
      <c r="E202" s="3">
        <f t="shared" si="14"/>
        <v>3</v>
      </c>
      <c r="F202" s="3" t="str">
        <f t="shared" si="15"/>
        <v>الأحد</v>
      </c>
      <c r="G202" s="3" t="s">
        <v>79</v>
      </c>
      <c r="H202" s="3">
        <v>1</v>
      </c>
      <c r="I202" s="3">
        <v>85</v>
      </c>
      <c r="J202" s="3" t="s">
        <v>23</v>
      </c>
      <c r="K202" s="3" t="s">
        <v>24</v>
      </c>
      <c r="L202" s="3" t="s">
        <v>43</v>
      </c>
      <c r="M202" s="3" t="s">
        <v>26</v>
      </c>
      <c r="N202" s="3" t="s">
        <v>27</v>
      </c>
      <c r="O202" s="19" t="s">
        <v>158</v>
      </c>
    </row>
    <row r="203" spans="1:15">
      <c r="A203" s="3">
        <v>267728802</v>
      </c>
      <c r="B203" s="4">
        <v>46194.442326388897</v>
      </c>
      <c r="C203" s="5">
        <f t="shared" si="12"/>
        <v>46194</v>
      </c>
      <c r="D203" s="3" t="str">
        <f t="shared" si="13"/>
        <v>2026-06</v>
      </c>
      <c r="E203" s="3">
        <f t="shared" si="14"/>
        <v>10</v>
      </c>
      <c r="F203" s="3" t="str">
        <f t="shared" si="15"/>
        <v>الأحد</v>
      </c>
      <c r="G203" s="3" t="s">
        <v>28</v>
      </c>
      <c r="H203" s="3">
        <v>1</v>
      </c>
      <c r="I203" s="3">
        <v>49</v>
      </c>
      <c r="J203" s="3" t="s">
        <v>66</v>
      </c>
      <c r="K203" s="3" t="s">
        <v>24</v>
      </c>
      <c r="L203" s="3" t="s">
        <v>30</v>
      </c>
      <c r="M203" s="3" t="s">
        <v>26</v>
      </c>
      <c r="N203" s="3" t="s">
        <v>27</v>
      </c>
      <c r="O203" s="19" t="s">
        <v>158</v>
      </c>
    </row>
    <row r="204" spans="1:15">
      <c r="A204" s="3">
        <v>267868883</v>
      </c>
      <c r="B204" s="4">
        <v>46195.384733796302</v>
      </c>
      <c r="C204" s="5">
        <f t="shared" si="12"/>
        <v>46195</v>
      </c>
      <c r="D204" s="3" t="str">
        <f t="shared" si="13"/>
        <v>2026-06</v>
      </c>
      <c r="E204" s="3">
        <f t="shared" si="14"/>
        <v>9</v>
      </c>
      <c r="F204" s="3" t="str">
        <f t="shared" si="15"/>
        <v>الإثنين</v>
      </c>
      <c r="G204" s="3" t="s">
        <v>79</v>
      </c>
      <c r="H204" s="3">
        <v>1</v>
      </c>
      <c r="I204" s="3">
        <v>85</v>
      </c>
      <c r="J204" s="3" t="s">
        <v>62</v>
      </c>
      <c r="K204" s="3" t="s">
        <v>24</v>
      </c>
      <c r="L204" s="3" t="s">
        <v>88</v>
      </c>
      <c r="M204" s="3" t="s">
        <v>26</v>
      </c>
      <c r="N204" s="3" t="s">
        <v>27</v>
      </c>
      <c r="O204" s="19" t="s">
        <v>158</v>
      </c>
    </row>
    <row r="205" spans="1:15">
      <c r="A205" s="3">
        <v>267875442</v>
      </c>
      <c r="B205" s="4">
        <v>46195.450624999998</v>
      </c>
      <c r="C205" s="5">
        <f t="shared" si="12"/>
        <v>46195</v>
      </c>
      <c r="D205" s="3" t="str">
        <f t="shared" si="13"/>
        <v>2026-06</v>
      </c>
      <c r="E205" s="3">
        <f t="shared" si="14"/>
        <v>10</v>
      </c>
      <c r="F205" s="3" t="str">
        <f t="shared" si="15"/>
        <v>الإثنين</v>
      </c>
      <c r="G205" s="3" t="s">
        <v>28</v>
      </c>
      <c r="H205" s="3">
        <v>1</v>
      </c>
      <c r="I205" s="3">
        <v>49</v>
      </c>
      <c r="J205" s="3" t="s">
        <v>23</v>
      </c>
      <c r="K205" s="3" t="s">
        <v>24</v>
      </c>
      <c r="L205" s="3" t="s">
        <v>84</v>
      </c>
      <c r="M205" s="3" t="s">
        <v>26</v>
      </c>
      <c r="N205" s="3" t="s">
        <v>27</v>
      </c>
      <c r="O205" s="19" t="s">
        <v>158</v>
      </c>
    </row>
    <row r="206" spans="1:15">
      <c r="A206" s="3">
        <v>267973248</v>
      </c>
      <c r="B206" s="4">
        <v>46196.023472222201</v>
      </c>
      <c r="C206" s="5">
        <f t="shared" si="12"/>
        <v>46196</v>
      </c>
      <c r="D206" s="3" t="str">
        <f t="shared" si="13"/>
        <v>2026-06</v>
      </c>
      <c r="E206" s="3">
        <f t="shared" si="14"/>
        <v>0</v>
      </c>
      <c r="F206" s="3" t="str">
        <f t="shared" si="15"/>
        <v>الثلاثاء</v>
      </c>
      <c r="G206" s="3" t="s">
        <v>79</v>
      </c>
      <c r="H206" s="3">
        <v>1</v>
      </c>
      <c r="I206" s="3">
        <v>85</v>
      </c>
      <c r="J206" s="3" t="s">
        <v>23</v>
      </c>
      <c r="K206" s="3" t="s">
        <v>24</v>
      </c>
      <c r="L206" s="3" t="s">
        <v>30</v>
      </c>
      <c r="M206" s="3" t="s">
        <v>26</v>
      </c>
      <c r="N206" s="3" t="s">
        <v>27</v>
      </c>
      <c r="O206" s="19" t="s">
        <v>158</v>
      </c>
    </row>
    <row r="207" spans="1:15">
      <c r="A207" s="3">
        <v>268128774</v>
      </c>
      <c r="B207" s="4">
        <v>46197.107696759304</v>
      </c>
      <c r="C207" s="5">
        <f t="shared" si="12"/>
        <v>46197</v>
      </c>
      <c r="D207" s="3" t="str">
        <f t="shared" si="13"/>
        <v>2026-06</v>
      </c>
      <c r="E207" s="3">
        <f t="shared" si="14"/>
        <v>2</v>
      </c>
      <c r="F207" s="3" t="str">
        <f t="shared" si="15"/>
        <v>الأربعاء</v>
      </c>
      <c r="G207" s="3" t="s">
        <v>79</v>
      </c>
      <c r="H207" s="3">
        <v>1</v>
      </c>
      <c r="I207" s="3">
        <v>85</v>
      </c>
      <c r="J207" s="3" t="s">
        <v>23</v>
      </c>
      <c r="K207" s="3" t="s">
        <v>24</v>
      </c>
      <c r="L207" s="3" t="s">
        <v>89</v>
      </c>
      <c r="M207" s="3" t="s">
        <v>26</v>
      </c>
      <c r="N207" s="3" t="s">
        <v>27</v>
      </c>
      <c r="O207" s="19" t="s">
        <v>158</v>
      </c>
    </row>
    <row r="208" spans="1:15">
      <c r="A208" s="3">
        <v>268191218</v>
      </c>
      <c r="B208" s="4">
        <v>46197.628067129597</v>
      </c>
      <c r="C208" s="5">
        <f t="shared" si="12"/>
        <v>46197</v>
      </c>
      <c r="D208" s="3" t="str">
        <f t="shared" si="13"/>
        <v>2026-06</v>
      </c>
      <c r="E208" s="3">
        <f t="shared" si="14"/>
        <v>15</v>
      </c>
      <c r="F208" s="3" t="str">
        <f t="shared" si="15"/>
        <v>الأربعاء</v>
      </c>
      <c r="G208" s="3" t="s">
        <v>79</v>
      </c>
      <c r="H208" s="3">
        <v>1</v>
      </c>
      <c r="I208" s="3">
        <v>111</v>
      </c>
      <c r="J208" s="3" t="s">
        <v>62</v>
      </c>
      <c r="K208" s="3" t="s">
        <v>24</v>
      </c>
      <c r="L208" s="3" t="s">
        <v>30</v>
      </c>
      <c r="M208" s="3" t="s">
        <v>26</v>
      </c>
      <c r="N208" s="3" t="s">
        <v>27</v>
      </c>
      <c r="O208" s="19" t="s">
        <v>157</v>
      </c>
    </row>
    <row r="209" spans="1:15">
      <c r="A209" s="3">
        <v>268257307</v>
      </c>
      <c r="B209" s="4">
        <v>46197.949629629598</v>
      </c>
      <c r="C209" s="5">
        <f t="shared" si="12"/>
        <v>46197</v>
      </c>
      <c r="D209" s="3" t="str">
        <f t="shared" si="13"/>
        <v>2026-06</v>
      </c>
      <c r="E209" s="3">
        <f t="shared" si="14"/>
        <v>22</v>
      </c>
      <c r="F209" s="3" t="str">
        <f t="shared" si="15"/>
        <v>الأربعاء</v>
      </c>
      <c r="G209" s="3" t="s">
        <v>79</v>
      </c>
      <c r="H209" s="3">
        <v>1</v>
      </c>
      <c r="I209" s="3">
        <v>111</v>
      </c>
      <c r="J209" s="3" t="s">
        <v>29</v>
      </c>
      <c r="K209" s="3" t="s">
        <v>24</v>
      </c>
      <c r="L209" s="3" t="s">
        <v>90</v>
      </c>
      <c r="M209" s="3" t="s">
        <v>53</v>
      </c>
      <c r="N209" s="3" t="s">
        <v>27</v>
      </c>
      <c r="O209" s="19" t="s">
        <v>158</v>
      </c>
    </row>
    <row r="210" spans="1:15">
      <c r="A210" s="3">
        <v>268307483</v>
      </c>
      <c r="B210" s="4">
        <v>46198.230162036998</v>
      </c>
      <c r="C210" s="5">
        <f t="shared" si="12"/>
        <v>46198</v>
      </c>
      <c r="D210" s="3" t="str">
        <f t="shared" si="13"/>
        <v>2026-06</v>
      </c>
      <c r="E210" s="3">
        <f t="shared" si="14"/>
        <v>5</v>
      </c>
      <c r="F210" s="3" t="str">
        <f t="shared" si="15"/>
        <v>الخميس</v>
      </c>
      <c r="G210" s="3" t="s">
        <v>28</v>
      </c>
      <c r="H210" s="3">
        <v>1</v>
      </c>
      <c r="I210" s="3">
        <v>49</v>
      </c>
      <c r="J210" s="3" t="s">
        <v>62</v>
      </c>
      <c r="K210" s="3" t="s">
        <v>24</v>
      </c>
      <c r="L210" s="3" t="s">
        <v>30</v>
      </c>
      <c r="M210" s="3" t="s">
        <v>26</v>
      </c>
      <c r="N210" s="3" t="s">
        <v>27</v>
      </c>
      <c r="O210" s="19" t="s">
        <v>158</v>
      </c>
    </row>
    <row r="211" spans="1:15">
      <c r="A211" s="3">
        <v>268815027</v>
      </c>
      <c r="B211" s="4">
        <v>46201.110509259299</v>
      </c>
      <c r="C211" s="5">
        <f t="shared" si="12"/>
        <v>46201</v>
      </c>
      <c r="D211" s="3" t="str">
        <f t="shared" si="13"/>
        <v>2026-06</v>
      </c>
      <c r="E211" s="3">
        <f t="shared" si="14"/>
        <v>2</v>
      </c>
      <c r="F211" s="3" t="str">
        <f t="shared" si="15"/>
        <v>الأحد</v>
      </c>
      <c r="G211" s="3" t="s">
        <v>28</v>
      </c>
      <c r="H211" s="3">
        <v>1</v>
      </c>
      <c r="I211" s="3">
        <v>49</v>
      </c>
      <c r="J211" s="3" t="s">
        <v>23</v>
      </c>
      <c r="K211" s="3" t="s">
        <v>24</v>
      </c>
      <c r="L211" s="3" t="s">
        <v>25</v>
      </c>
      <c r="M211" s="3" t="s">
        <v>26</v>
      </c>
      <c r="N211" s="3" t="s">
        <v>27</v>
      </c>
      <c r="O211" s="19" t="s">
        <v>158</v>
      </c>
    </row>
    <row r="212" spans="1:15">
      <c r="A212" s="3">
        <v>268816367</v>
      </c>
      <c r="B212" s="4">
        <v>46201.1147569444</v>
      </c>
      <c r="C212" s="5">
        <f t="shared" si="12"/>
        <v>46201</v>
      </c>
      <c r="D212" s="3" t="str">
        <f t="shared" si="13"/>
        <v>2026-06</v>
      </c>
      <c r="E212" s="3">
        <f t="shared" si="14"/>
        <v>2</v>
      </c>
      <c r="F212" s="3" t="str">
        <f t="shared" si="15"/>
        <v>الأحد</v>
      </c>
      <c r="G212" s="3" t="s">
        <v>79</v>
      </c>
      <c r="H212" s="3">
        <v>1</v>
      </c>
      <c r="I212" s="3">
        <v>111</v>
      </c>
      <c r="J212" s="3" t="s">
        <v>62</v>
      </c>
      <c r="K212" s="3" t="s">
        <v>24</v>
      </c>
      <c r="L212" s="3" t="s">
        <v>91</v>
      </c>
      <c r="M212" s="3" t="s">
        <v>26</v>
      </c>
      <c r="N212" s="3" t="s">
        <v>27</v>
      </c>
      <c r="O212" s="19" t="s">
        <v>158</v>
      </c>
    </row>
    <row r="213" spans="1:15">
      <c r="A213" s="3">
        <v>269269162</v>
      </c>
      <c r="B213" s="4">
        <v>46202.824050925898</v>
      </c>
      <c r="C213" s="5">
        <f t="shared" si="12"/>
        <v>46202</v>
      </c>
      <c r="D213" s="3" t="str">
        <f t="shared" si="13"/>
        <v>2026-06</v>
      </c>
      <c r="E213" s="3">
        <f t="shared" si="14"/>
        <v>19</v>
      </c>
      <c r="F213" s="3" t="str">
        <f t="shared" si="15"/>
        <v>الإثنين</v>
      </c>
      <c r="G213" s="3" t="s">
        <v>79</v>
      </c>
      <c r="H213" s="3">
        <v>1</v>
      </c>
      <c r="I213" s="3">
        <v>111</v>
      </c>
      <c r="J213" s="3" t="s">
        <v>23</v>
      </c>
      <c r="K213" s="3" t="s">
        <v>24</v>
      </c>
      <c r="L213" s="3" t="s">
        <v>92</v>
      </c>
      <c r="M213" s="3" t="s">
        <v>26</v>
      </c>
      <c r="N213" s="3" t="s">
        <v>27</v>
      </c>
      <c r="O213" s="19" t="s">
        <v>158</v>
      </c>
    </row>
    <row r="214" spans="1:15">
      <c r="A214" s="3">
        <v>269321670</v>
      </c>
      <c r="B214" s="4">
        <v>46202.976412037002</v>
      </c>
      <c r="C214" s="5">
        <f t="shared" si="12"/>
        <v>46202</v>
      </c>
      <c r="D214" s="3" t="str">
        <f t="shared" si="13"/>
        <v>2026-06</v>
      </c>
      <c r="E214" s="3">
        <f t="shared" si="14"/>
        <v>23</v>
      </c>
      <c r="F214" s="3" t="str">
        <f t="shared" si="15"/>
        <v>الإثنين</v>
      </c>
      <c r="G214" s="3" t="s">
        <v>79</v>
      </c>
      <c r="H214" s="3">
        <v>1</v>
      </c>
      <c r="I214" s="3">
        <v>111</v>
      </c>
      <c r="J214" s="3" t="s">
        <v>23</v>
      </c>
      <c r="K214" s="3" t="s">
        <v>24</v>
      </c>
      <c r="L214" s="3" t="s">
        <v>30</v>
      </c>
      <c r="M214" s="3" t="s">
        <v>26</v>
      </c>
      <c r="N214" s="3" t="s">
        <v>27</v>
      </c>
      <c r="O214" s="19" t="s">
        <v>158</v>
      </c>
    </row>
    <row r="215" spans="1:15">
      <c r="A215" s="3">
        <v>269398105</v>
      </c>
      <c r="B215" s="4">
        <v>46203.348738425899</v>
      </c>
      <c r="C215" s="5">
        <f t="shared" si="12"/>
        <v>46203</v>
      </c>
      <c r="D215" s="3" t="str">
        <f t="shared" si="13"/>
        <v>2026-06</v>
      </c>
      <c r="E215" s="3">
        <f t="shared" si="14"/>
        <v>8</v>
      </c>
      <c r="F215" s="3" t="str">
        <f t="shared" si="15"/>
        <v>الثلاثاء</v>
      </c>
      <c r="G215" s="3" t="s">
        <v>28</v>
      </c>
      <c r="H215" s="3">
        <v>1</v>
      </c>
      <c r="I215" s="3">
        <v>49</v>
      </c>
      <c r="J215" s="3" t="s">
        <v>23</v>
      </c>
      <c r="K215" s="3" t="s">
        <v>24</v>
      </c>
      <c r="L215" s="3" t="s">
        <v>30</v>
      </c>
      <c r="M215" s="3" t="s">
        <v>26</v>
      </c>
      <c r="N215" s="3" t="s">
        <v>27</v>
      </c>
      <c r="O215" s="19" t="s">
        <v>158</v>
      </c>
    </row>
    <row r="216" spans="1:15">
      <c r="A216" s="3">
        <v>269518891</v>
      </c>
      <c r="B216" s="4">
        <v>46203.815856481502</v>
      </c>
      <c r="C216" s="5">
        <f t="shared" si="12"/>
        <v>46203</v>
      </c>
      <c r="D216" s="3" t="str">
        <f t="shared" si="13"/>
        <v>2026-06</v>
      </c>
      <c r="E216" s="3">
        <f t="shared" si="14"/>
        <v>19</v>
      </c>
      <c r="F216" s="3" t="str">
        <f t="shared" si="15"/>
        <v>الثلاثاء</v>
      </c>
      <c r="G216" s="3" t="s">
        <v>79</v>
      </c>
      <c r="H216" s="3">
        <v>1</v>
      </c>
      <c r="I216" s="3">
        <v>111</v>
      </c>
      <c r="J216" s="3" t="s">
        <v>23</v>
      </c>
      <c r="K216" s="3" t="s">
        <v>24</v>
      </c>
      <c r="L216" s="3" t="s">
        <v>30</v>
      </c>
      <c r="M216" s="3" t="s">
        <v>26</v>
      </c>
      <c r="N216" s="3" t="s">
        <v>27</v>
      </c>
      <c r="O216" s="19" t="s">
        <v>158</v>
      </c>
    </row>
    <row r="217" spans="1:15">
      <c r="A217" s="3">
        <v>269667725</v>
      </c>
      <c r="B217" s="4">
        <v>46204.349791666697</v>
      </c>
      <c r="C217" s="5">
        <f t="shared" si="12"/>
        <v>46204</v>
      </c>
      <c r="D217" s="3" t="str">
        <f t="shared" si="13"/>
        <v>2026-07</v>
      </c>
      <c r="E217" s="3">
        <f t="shared" si="14"/>
        <v>8</v>
      </c>
      <c r="F217" s="3" t="str">
        <f t="shared" si="15"/>
        <v>الأربعاء</v>
      </c>
      <c r="G217" s="3" t="s">
        <v>79</v>
      </c>
      <c r="H217" s="3">
        <v>1</v>
      </c>
      <c r="I217" s="3">
        <v>111</v>
      </c>
      <c r="J217" s="3" t="s">
        <v>23</v>
      </c>
      <c r="K217" s="3" t="s">
        <v>24</v>
      </c>
      <c r="L217" s="3" t="s">
        <v>43</v>
      </c>
      <c r="M217" s="3" t="s">
        <v>26</v>
      </c>
      <c r="N217" s="3" t="s">
        <v>27</v>
      </c>
      <c r="O217" s="19" t="s">
        <v>158</v>
      </c>
    </row>
    <row r="218" spans="1:15">
      <c r="A218" s="3">
        <v>269865845</v>
      </c>
      <c r="B218" s="4">
        <v>46205.033506944397</v>
      </c>
      <c r="C218" s="5">
        <f t="shared" si="12"/>
        <v>46205</v>
      </c>
      <c r="D218" s="3" t="str">
        <f t="shared" si="13"/>
        <v>2026-07</v>
      </c>
      <c r="E218" s="3">
        <f t="shared" si="14"/>
        <v>0</v>
      </c>
      <c r="F218" s="3" t="str">
        <f t="shared" si="15"/>
        <v>الخميس</v>
      </c>
      <c r="G218" s="3" t="s">
        <v>79</v>
      </c>
      <c r="H218" s="3">
        <v>1</v>
      </c>
      <c r="I218" s="3">
        <v>111</v>
      </c>
      <c r="J218" s="3" t="s">
        <v>62</v>
      </c>
      <c r="K218" s="3" t="s">
        <v>24</v>
      </c>
      <c r="L218" s="3" t="s">
        <v>31</v>
      </c>
      <c r="M218" s="3" t="s">
        <v>26</v>
      </c>
      <c r="N218" s="3" t="s">
        <v>27</v>
      </c>
      <c r="O218" s="19" t="s">
        <v>158</v>
      </c>
    </row>
    <row r="219" spans="1:15">
      <c r="A219" s="3">
        <v>269883446</v>
      </c>
      <c r="B219" s="4">
        <v>46205.091851851903</v>
      </c>
      <c r="C219" s="5">
        <f t="shared" si="12"/>
        <v>46205</v>
      </c>
      <c r="D219" s="3" t="str">
        <f t="shared" si="13"/>
        <v>2026-07</v>
      </c>
      <c r="E219" s="3">
        <f t="shared" si="14"/>
        <v>2</v>
      </c>
      <c r="F219" s="3" t="str">
        <f t="shared" si="15"/>
        <v>الخميس</v>
      </c>
      <c r="G219" s="3" t="s">
        <v>28</v>
      </c>
      <c r="H219" s="3">
        <v>1</v>
      </c>
      <c r="I219" s="3">
        <v>49</v>
      </c>
      <c r="J219" s="3" t="s">
        <v>23</v>
      </c>
      <c r="K219" s="3" t="s">
        <v>24</v>
      </c>
      <c r="L219" s="3" t="s">
        <v>30</v>
      </c>
      <c r="M219" s="3" t="s">
        <v>26</v>
      </c>
      <c r="N219" s="3" t="s">
        <v>27</v>
      </c>
      <c r="O219" s="19" t="s">
        <v>158</v>
      </c>
    </row>
    <row r="220" spans="1:15">
      <c r="A220" s="3">
        <v>269887214</v>
      </c>
      <c r="B220" s="4">
        <v>46205.106099536999</v>
      </c>
      <c r="C220" s="5">
        <f t="shared" si="12"/>
        <v>46205</v>
      </c>
      <c r="D220" s="3" t="str">
        <f t="shared" si="13"/>
        <v>2026-07</v>
      </c>
      <c r="E220" s="3">
        <f t="shared" si="14"/>
        <v>2</v>
      </c>
      <c r="F220" s="3" t="str">
        <f t="shared" si="15"/>
        <v>الخميس</v>
      </c>
      <c r="G220" s="3" t="s">
        <v>69</v>
      </c>
      <c r="H220" s="3">
        <v>1</v>
      </c>
      <c r="I220" s="3">
        <v>39</v>
      </c>
      <c r="J220" s="3" t="s">
        <v>62</v>
      </c>
      <c r="K220" s="3" t="s">
        <v>24</v>
      </c>
      <c r="L220" s="3" t="s">
        <v>93</v>
      </c>
      <c r="M220" s="3" t="s">
        <v>26</v>
      </c>
      <c r="N220" s="3" t="s">
        <v>27</v>
      </c>
      <c r="O220" s="19" t="s">
        <v>157</v>
      </c>
    </row>
    <row r="221" spans="1:15">
      <c r="A221" s="3">
        <v>270304685</v>
      </c>
      <c r="B221" s="4">
        <v>46206.961134259298</v>
      </c>
      <c r="C221" s="5">
        <f t="shared" si="12"/>
        <v>46206</v>
      </c>
      <c r="D221" s="3" t="str">
        <f t="shared" si="13"/>
        <v>2026-07</v>
      </c>
      <c r="E221" s="3">
        <f t="shared" si="14"/>
        <v>23</v>
      </c>
      <c r="F221" s="3" t="str">
        <f t="shared" si="15"/>
        <v>الجمعة</v>
      </c>
      <c r="G221" s="3" t="s">
        <v>28</v>
      </c>
      <c r="H221" s="3">
        <v>1</v>
      </c>
      <c r="I221" s="3">
        <v>49</v>
      </c>
      <c r="J221" s="3" t="s">
        <v>29</v>
      </c>
      <c r="K221" s="3" t="s">
        <v>24</v>
      </c>
      <c r="L221" s="3" t="s">
        <v>30</v>
      </c>
      <c r="M221" s="3" t="s">
        <v>26</v>
      </c>
      <c r="N221" s="3" t="s">
        <v>27</v>
      </c>
      <c r="O221" s="19" t="s">
        <v>158</v>
      </c>
    </row>
    <row r="222" spans="1:15">
      <c r="A222" s="3">
        <v>270358026</v>
      </c>
      <c r="B222" s="4">
        <v>46207.189212963</v>
      </c>
      <c r="C222" s="5">
        <f t="shared" si="12"/>
        <v>46207</v>
      </c>
      <c r="D222" s="3" t="str">
        <f t="shared" si="13"/>
        <v>2026-07</v>
      </c>
      <c r="E222" s="3">
        <f t="shared" si="14"/>
        <v>4</v>
      </c>
      <c r="F222" s="3" t="str">
        <f t="shared" si="15"/>
        <v>السبت</v>
      </c>
      <c r="G222" s="3" t="s">
        <v>79</v>
      </c>
      <c r="H222" s="3">
        <v>1</v>
      </c>
      <c r="I222" s="3">
        <v>111</v>
      </c>
      <c r="J222" s="3" t="s">
        <v>62</v>
      </c>
      <c r="K222" s="3" t="s">
        <v>24</v>
      </c>
      <c r="L222" s="3" t="s">
        <v>43</v>
      </c>
      <c r="M222" s="3" t="s">
        <v>26</v>
      </c>
      <c r="N222" s="3" t="s">
        <v>27</v>
      </c>
      <c r="O222" s="19" t="s">
        <v>157</v>
      </c>
    </row>
    <row r="223" spans="1:15">
      <c r="A223" s="3">
        <v>270365850</v>
      </c>
      <c r="B223" s="4">
        <v>46207.237557870401</v>
      </c>
      <c r="C223" s="5">
        <f t="shared" si="12"/>
        <v>46207</v>
      </c>
      <c r="D223" s="3" t="str">
        <f t="shared" si="13"/>
        <v>2026-07</v>
      </c>
      <c r="E223" s="3">
        <f t="shared" si="14"/>
        <v>5</v>
      </c>
      <c r="F223" s="3" t="str">
        <f t="shared" si="15"/>
        <v>السبت</v>
      </c>
      <c r="G223" s="3" t="s">
        <v>79</v>
      </c>
      <c r="H223" s="3">
        <v>1</v>
      </c>
      <c r="I223" s="3">
        <v>111</v>
      </c>
      <c r="J223" s="3" t="s">
        <v>23</v>
      </c>
      <c r="K223" s="3" t="s">
        <v>24</v>
      </c>
      <c r="L223" s="3" t="s">
        <v>94</v>
      </c>
      <c r="M223" s="3" t="s">
        <v>26</v>
      </c>
      <c r="N223" s="3" t="s">
        <v>27</v>
      </c>
      <c r="O223" s="19" t="s">
        <v>158</v>
      </c>
    </row>
    <row r="224" spans="1:15">
      <c r="A224" s="3">
        <v>270404080</v>
      </c>
      <c r="B224" s="4">
        <v>46207.541550925896</v>
      </c>
      <c r="C224" s="5">
        <f t="shared" si="12"/>
        <v>46207</v>
      </c>
      <c r="D224" s="3" t="str">
        <f t="shared" si="13"/>
        <v>2026-07</v>
      </c>
      <c r="E224" s="3">
        <f t="shared" si="14"/>
        <v>12</v>
      </c>
      <c r="F224" s="3" t="str">
        <f t="shared" si="15"/>
        <v>السبت</v>
      </c>
      <c r="G224" s="3" t="s">
        <v>28</v>
      </c>
      <c r="H224" s="3">
        <v>1</v>
      </c>
      <c r="I224" s="3">
        <v>49</v>
      </c>
      <c r="J224" s="3" t="s">
        <v>23</v>
      </c>
      <c r="K224" s="3" t="s">
        <v>24</v>
      </c>
      <c r="L224" s="3" t="s">
        <v>30</v>
      </c>
      <c r="M224" s="3" t="s">
        <v>26</v>
      </c>
      <c r="N224" s="3" t="s">
        <v>27</v>
      </c>
      <c r="O224" s="19" t="s">
        <v>158</v>
      </c>
    </row>
    <row r="225" spans="1:15">
      <c r="A225" s="3">
        <v>270492059</v>
      </c>
      <c r="B225" s="4">
        <v>46207.881990740701</v>
      </c>
      <c r="C225" s="5">
        <f t="shared" si="12"/>
        <v>46207</v>
      </c>
      <c r="D225" s="3" t="str">
        <f t="shared" si="13"/>
        <v>2026-07</v>
      </c>
      <c r="E225" s="3">
        <f t="shared" si="14"/>
        <v>21</v>
      </c>
      <c r="F225" s="3" t="str">
        <f t="shared" si="15"/>
        <v>السبت</v>
      </c>
      <c r="G225" s="3" t="s">
        <v>28</v>
      </c>
      <c r="H225" s="3">
        <v>1</v>
      </c>
      <c r="I225" s="3">
        <v>49</v>
      </c>
      <c r="J225" s="3" t="s">
        <v>23</v>
      </c>
      <c r="K225" s="3" t="s">
        <v>24</v>
      </c>
      <c r="L225" s="3" t="s">
        <v>30</v>
      </c>
      <c r="M225" s="3" t="s">
        <v>26</v>
      </c>
      <c r="N225" s="3" t="s">
        <v>27</v>
      </c>
      <c r="O225" s="19" t="s">
        <v>157</v>
      </c>
    </row>
    <row r="226" spans="1:15">
      <c r="A226" s="3">
        <v>270575146</v>
      </c>
      <c r="B226" s="4">
        <v>46208.257662037002</v>
      </c>
      <c r="C226" s="5">
        <f t="shared" si="12"/>
        <v>46208</v>
      </c>
      <c r="D226" s="3" t="str">
        <f t="shared" si="13"/>
        <v>2026-07</v>
      </c>
      <c r="E226" s="3">
        <f t="shared" si="14"/>
        <v>6</v>
      </c>
      <c r="F226" s="3" t="str">
        <f t="shared" si="15"/>
        <v>الأحد</v>
      </c>
      <c r="G226" s="3" t="s">
        <v>79</v>
      </c>
      <c r="H226" s="3">
        <v>1</v>
      </c>
      <c r="I226" s="3">
        <v>111</v>
      </c>
      <c r="J226" s="3" t="s">
        <v>62</v>
      </c>
      <c r="K226" s="3" t="s">
        <v>24</v>
      </c>
      <c r="L226" s="3" t="s">
        <v>33</v>
      </c>
      <c r="M226" s="3" t="s">
        <v>26</v>
      </c>
      <c r="N226" s="3" t="s">
        <v>27</v>
      </c>
      <c r="O226" s="19" t="s">
        <v>158</v>
      </c>
    </row>
    <row r="227" spans="1:15">
      <c r="A227" s="3">
        <v>270830937</v>
      </c>
      <c r="B227" s="4">
        <v>46209.583298611098</v>
      </c>
      <c r="C227" s="5">
        <f t="shared" si="12"/>
        <v>46209</v>
      </c>
      <c r="D227" s="3" t="str">
        <f t="shared" si="13"/>
        <v>2026-07</v>
      </c>
      <c r="E227" s="3">
        <f t="shared" si="14"/>
        <v>13</v>
      </c>
      <c r="F227" s="3" t="str">
        <f t="shared" si="15"/>
        <v>الإثنين</v>
      </c>
      <c r="G227" s="3" t="s">
        <v>28</v>
      </c>
      <c r="H227" s="3">
        <v>1</v>
      </c>
      <c r="I227" s="3">
        <v>49</v>
      </c>
      <c r="J227" s="3" t="s">
        <v>23</v>
      </c>
      <c r="K227" s="3" t="s">
        <v>24</v>
      </c>
      <c r="L227" s="3" t="s">
        <v>30</v>
      </c>
      <c r="M227" s="3" t="s">
        <v>26</v>
      </c>
      <c r="N227" s="3" t="s">
        <v>27</v>
      </c>
      <c r="O227" s="19" t="s">
        <v>158</v>
      </c>
    </row>
    <row r="228" spans="1:15">
      <c r="A228" s="3">
        <v>270830937</v>
      </c>
      <c r="B228" s="4">
        <v>46209.583298611098</v>
      </c>
      <c r="C228" s="5">
        <f t="shared" si="12"/>
        <v>46209</v>
      </c>
      <c r="D228" s="3" t="str">
        <f t="shared" si="13"/>
        <v>2026-07</v>
      </c>
      <c r="E228" s="3">
        <f t="shared" si="14"/>
        <v>13</v>
      </c>
      <c r="F228" s="3" t="str">
        <f t="shared" si="15"/>
        <v>الإثنين</v>
      </c>
      <c r="G228" s="3" t="s">
        <v>68</v>
      </c>
      <c r="H228" s="3">
        <v>1</v>
      </c>
      <c r="I228" s="3">
        <v>39</v>
      </c>
      <c r="J228" s="3" t="s">
        <v>23</v>
      </c>
      <c r="K228" s="3" t="s">
        <v>24</v>
      </c>
      <c r="L228" s="3" t="s">
        <v>30</v>
      </c>
      <c r="M228" s="3" t="s">
        <v>26</v>
      </c>
      <c r="N228" s="3" t="s">
        <v>27</v>
      </c>
      <c r="O228" s="19" t="s">
        <v>158</v>
      </c>
    </row>
    <row r="229" spans="1:15">
      <c r="A229" s="3">
        <v>270864438</v>
      </c>
      <c r="B229" s="4">
        <v>46209.726006944496</v>
      </c>
      <c r="C229" s="5">
        <f t="shared" si="12"/>
        <v>46209</v>
      </c>
      <c r="D229" s="3" t="str">
        <f t="shared" si="13"/>
        <v>2026-07</v>
      </c>
      <c r="E229" s="3">
        <f t="shared" si="14"/>
        <v>17</v>
      </c>
      <c r="F229" s="3" t="str">
        <f t="shared" si="15"/>
        <v>الإثنين</v>
      </c>
      <c r="G229" s="3" t="s">
        <v>28</v>
      </c>
      <c r="H229" s="3">
        <v>1</v>
      </c>
      <c r="I229" s="3">
        <v>49</v>
      </c>
      <c r="J229" s="3" t="s">
        <v>29</v>
      </c>
      <c r="K229" s="3" t="s">
        <v>24</v>
      </c>
      <c r="L229" s="3" t="s">
        <v>30</v>
      </c>
      <c r="M229" s="3" t="s">
        <v>26</v>
      </c>
      <c r="N229" s="3" t="s">
        <v>27</v>
      </c>
      <c r="O229" s="19" t="s">
        <v>157</v>
      </c>
    </row>
    <row r="230" spans="1:15">
      <c r="A230" s="3">
        <v>270971879</v>
      </c>
      <c r="B230" s="4">
        <v>46210.141944444498</v>
      </c>
      <c r="C230" s="5">
        <f t="shared" si="12"/>
        <v>46210</v>
      </c>
      <c r="D230" s="3" t="str">
        <f t="shared" si="13"/>
        <v>2026-07</v>
      </c>
      <c r="E230" s="3">
        <f t="shared" si="14"/>
        <v>3</v>
      </c>
      <c r="F230" s="3" t="str">
        <f t="shared" si="15"/>
        <v>الثلاثاء</v>
      </c>
      <c r="G230" s="3" t="s">
        <v>79</v>
      </c>
      <c r="H230" s="3">
        <v>1</v>
      </c>
      <c r="I230" s="3">
        <v>111</v>
      </c>
      <c r="J230" s="3" t="s">
        <v>62</v>
      </c>
      <c r="K230" s="3" t="s">
        <v>24</v>
      </c>
      <c r="L230" s="3" t="s">
        <v>33</v>
      </c>
      <c r="M230" s="3" t="s">
        <v>26</v>
      </c>
      <c r="N230" s="3" t="s">
        <v>27</v>
      </c>
      <c r="O230" s="19" t="s">
        <v>158</v>
      </c>
    </row>
    <row r="231" spans="1:15">
      <c r="A231" s="3">
        <v>271157320</v>
      </c>
      <c r="B231" s="4">
        <v>46211.130439814799</v>
      </c>
      <c r="C231" s="5">
        <f t="shared" si="12"/>
        <v>46211</v>
      </c>
      <c r="D231" s="3" t="str">
        <f t="shared" si="13"/>
        <v>2026-07</v>
      </c>
      <c r="E231" s="3">
        <f t="shared" si="14"/>
        <v>3</v>
      </c>
      <c r="F231" s="3" t="str">
        <f t="shared" si="15"/>
        <v>الأربعاء</v>
      </c>
      <c r="G231" s="3" t="s">
        <v>28</v>
      </c>
      <c r="H231" s="3">
        <v>1</v>
      </c>
      <c r="I231" s="3">
        <v>49</v>
      </c>
      <c r="J231" s="3" t="s">
        <v>23</v>
      </c>
      <c r="K231" s="3" t="s">
        <v>24</v>
      </c>
      <c r="L231" s="3" t="s">
        <v>76</v>
      </c>
      <c r="M231" s="3" t="s">
        <v>26</v>
      </c>
      <c r="N231" s="3" t="s">
        <v>27</v>
      </c>
      <c r="O231" s="19" t="s">
        <v>158</v>
      </c>
    </row>
    <row r="232" spans="1:15">
      <c r="A232" s="3">
        <v>271225252</v>
      </c>
      <c r="B232" s="4">
        <v>46211.627129629604</v>
      </c>
      <c r="C232" s="5">
        <f t="shared" si="12"/>
        <v>46211</v>
      </c>
      <c r="D232" s="3" t="str">
        <f t="shared" si="13"/>
        <v>2026-07</v>
      </c>
      <c r="E232" s="3">
        <f t="shared" si="14"/>
        <v>15</v>
      </c>
      <c r="F232" s="3" t="str">
        <f t="shared" si="15"/>
        <v>الأربعاء</v>
      </c>
      <c r="G232" s="3" t="s">
        <v>79</v>
      </c>
      <c r="H232" s="3">
        <v>1</v>
      </c>
      <c r="I232" s="3">
        <v>111</v>
      </c>
      <c r="J232" s="3" t="s">
        <v>23</v>
      </c>
      <c r="K232" s="3" t="s">
        <v>24</v>
      </c>
      <c r="L232" s="3" t="s">
        <v>41</v>
      </c>
      <c r="M232" s="3" t="s">
        <v>26</v>
      </c>
      <c r="N232" s="3" t="s">
        <v>27</v>
      </c>
      <c r="O232" s="19" t="s">
        <v>158</v>
      </c>
    </row>
    <row r="233" spans="1:15">
      <c r="A233" s="3">
        <v>272075977</v>
      </c>
      <c r="B233" s="4">
        <v>46216.213275463</v>
      </c>
      <c r="C233" s="5">
        <f t="shared" si="12"/>
        <v>46216</v>
      </c>
      <c r="D233" s="3" t="str">
        <f t="shared" si="13"/>
        <v>2026-07</v>
      </c>
      <c r="E233" s="3">
        <f t="shared" si="14"/>
        <v>5</v>
      </c>
      <c r="F233" s="3" t="str">
        <f t="shared" si="15"/>
        <v>الإثنين</v>
      </c>
      <c r="G233" s="3" t="s">
        <v>79</v>
      </c>
      <c r="H233" s="3">
        <v>1</v>
      </c>
      <c r="I233" s="3">
        <v>111</v>
      </c>
      <c r="J233" s="3" t="s">
        <v>23</v>
      </c>
      <c r="K233" s="3" t="s">
        <v>24</v>
      </c>
      <c r="L233" s="3" t="s">
        <v>95</v>
      </c>
      <c r="M233" s="3" t="s">
        <v>26</v>
      </c>
      <c r="N233" s="3" t="s">
        <v>27</v>
      </c>
      <c r="O233" s="19" t="s">
        <v>158</v>
      </c>
    </row>
    <row r="234" spans="1:15">
      <c r="A234" s="3">
        <v>272210165</v>
      </c>
      <c r="B234" s="4">
        <v>46216.990914351903</v>
      </c>
      <c r="C234" s="5">
        <f t="shared" si="12"/>
        <v>46216</v>
      </c>
      <c r="D234" s="3" t="str">
        <f t="shared" si="13"/>
        <v>2026-07</v>
      </c>
      <c r="E234" s="3">
        <f t="shared" si="14"/>
        <v>23</v>
      </c>
      <c r="F234" s="3" t="str">
        <f t="shared" si="15"/>
        <v>الإثنين</v>
      </c>
      <c r="G234" s="3" t="s">
        <v>28</v>
      </c>
      <c r="H234" s="3">
        <v>1</v>
      </c>
      <c r="I234" s="3">
        <v>49</v>
      </c>
      <c r="J234" s="3" t="s">
        <v>62</v>
      </c>
      <c r="K234" s="3" t="s">
        <v>24</v>
      </c>
      <c r="L234" s="3" t="s">
        <v>96</v>
      </c>
      <c r="M234" s="3" t="s">
        <v>26</v>
      </c>
      <c r="N234" s="3" t="s">
        <v>27</v>
      </c>
      <c r="O234" s="19" t="s">
        <v>157</v>
      </c>
    </row>
    <row r="235" spans="1:15">
      <c r="A235" s="3">
        <v>272657566</v>
      </c>
      <c r="B235" s="4">
        <v>46219.6590393519</v>
      </c>
      <c r="C235" s="5">
        <f t="shared" si="12"/>
        <v>46219</v>
      </c>
      <c r="D235" s="3" t="str">
        <f t="shared" si="13"/>
        <v>2026-07</v>
      </c>
      <c r="E235" s="3">
        <f t="shared" si="14"/>
        <v>15</v>
      </c>
      <c r="F235" s="3" t="str">
        <f t="shared" si="15"/>
        <v>الخميس</v>
      </c>
      <c r="G235" s="3" t="s">
        <v>28</v>
      </c>
      <c r="H235" s="3">
        <v>1</v>
      </c>
      <c r="I235" s="3">
        <v>49</v>
      </c>
      <c r="J235" s="3" t="s">
        <v>23</v>
      </c>
      <c r="K235" s="3" t="s">
        <v>24</v>
      </c>
      <c r="L235" s="3" t="s">
        <v>97</v>
      </c>
      <c r="M235" s="3" t="s">
        <v>26</v>
      </c>
      <c r="N235" s="3" t="s">
        <v>27</v>
      </c>
      <c r="O235" s="19" t="s">
        <v>158</v>
      </c>
    </row>
    <row r="236" spans="1:15">
      <c r="A236" s="3">
        <v>272817715</v>
      </c>
      <c r="B236" s="4">
        <v>46220.698333333297</v>
      </c>
      <c r="C236" s="5">
        <f t="shared" si="12"/>
        <v>46220</v>
      </c>
      <c r="D236" s="3" t="str">
        <f t="shared" si="13"/>
        <v>2026-07</v>
      </c>
      <c r="E236" s="3">
        <f t="shared" si="14"/>
        <v>16</v>
      </c>
      <c r="F236" s="3" t="str">
        <f t="shared" si="15"/>
        <v>الجمعة</v>
      </c>
      <c r="G236" s="3" t="s">
        <v>79</v>
      </c>
      <c r="H236" s="3">
        <v>1</v>
      </c>
      <c r="I236" s="3">
        <v>111</v>
      </c>
      <c r="J236" s="3" t="s">
        <v>23</v>
      </c>
      <c r="K236" s="3" t="s">
        <v>24</v>
      </c>
      <c r="L236" s="3" t="s">
        <v>44</v>
      </c>
      <c r="M236" s="3" t="s">
        <v>26</v>
      </c>
      <c r="N236" s="3" t="s">
        <v>27</v>
      </c>
      <c r="O236" s="19" t="s">
        <v>158</v>
      </c>
    </row>
    <row r="237" spans="1:15">
      <c r="A237" s="3">
        <v>272994583</v>
      </c>
      <c r="B237" s="4">
        <v>46221.838263888902</v>
      </c>
      <c r="C237" s="5">
        <f t="shared" si="12"/>
        <v>46221</v>
      </c>
      <c r="D237" s="3" t="str">
        <f t="shared" si="13"/>
        <v>2026-07</v>
      </c>
      <c r="E237" s="3">
        <f t="shared" si="14"/>
        <v>20</v>
      </c>
      <c r="F237" s="3" t="str">
        <f t="shared" si="15"/>
        <v>السبت</v>
      </c>
      <c r="G237" s="3" t="s">
        <v>28</v>
      </c>
      <c r="H237" s="3">
        <v>1</v>
      </c>
      <c r="I237" s="3">
        <v>49</v>
      </c>
      <c r="J237" s="3" t="s">
        <v>23</v>
      </c>
      <c r="K237" s="3" t="s">
        <v>24</v>
      </c>
      <c r="L237" s="3" t="s">
        <v>30</v>
      </c>
      <c r="M237" s="3" t="s">
        <v>26</v>
      </c>
      <c r="N237" s="3" t="s">
        <v>27</v>
      </c>
      <c r="O237" s="19" t="s">
        <v>158</v>
      </c>
    </row>
    <row r="238" spans="1:15">
      <c r="A238" s="3">
        <v>273055137</v>
      </c>
      <c r="B238" s="4">
        <v>46222.140115740702</v>
      </c>
      <c r="C238" s="5">
        <f t="shared" si="12"/>
        <v>46222</v>
      </c>
      <c r="D238" s="3" t="str">
        <f t="shared" si="13"/>
        <v>2026-07</v>
      </c>
      <c r="E238" s="3">
        <f t="shared" si="14"/>
        <v>3</v>
      </c>
      <c r="F238" s="3" t="str">
        <f t="shared" si="15"/>
        <v>الأحد</v>
      </c>
      <c r="G238" s="3" t="s">
        <v>69</v>
      </c>
      <c r="H238" s="3">
        <v>1</v>
      </c>
      <c r="I238" s="3">
        <v>39</v>
      </c>
      <c r="J238" s="3" t="s">
        <v>62</v>
      </c>
      <c r="K238" s="3" t="s">
        <v>24</v>
      </c>
      <c r="L238" s="3" t="s">
        <v>98</v>
      </c>
      <c r="M238" s="3" t="s">
        <v>26</v>
      </c>
      <c r="N238" s="3" t="s">
        <v>27</v>
      </c>
      <c r="O238" s="19" t="s">
        <v>158</v>
      </c>
    </row>
    <row r="239" spans="1:15">
      <c r="A239" s="3">
        <v>274339705</v>
      </c>
      <c r="B239" s="4">
        <v>46230.435289351903</v>
      </c>
      <c r="C239" s="5">
        <f t="shared" si="12"/>
        <v>46230</v>
      </c>
      <c r="D239" s="3" t="str">
        <f t="shared" si="13"/>
        <v>2026-07</v>
      </c>
      <c r="E239" s="3">
        <f t="shared" si="14"/>
        <v>10</v>
      </c>
      <c r="F239" s="3" t="str">
        <f t="shared" si="15"/>
        <v>الإثنين</v>
      </c>
      <c r="G239" s="3" t="s">
        <v>69</v>
      </c>
      <c r="H239" s="3">
        <v>1</v>
      </c>
      <c r="I239" s="3">
        <v>39</v>
      </c>
      <c r="J239" s="3" t="s">
        <v>23</v>
      </c>
      <c r="K239" s="3" t="s">
        <v>24</v>
      </c>
      <c r="L239" s="3" t="s">
        <v>99</v>
      </c>
      <c r="M239" s="3" t="s">
        <v>26</v>
      </c>
      <c r="N239" s="3" t="s">
        <v>27</v>
      </c>
      <c r="O239" s="19" t="s">
        <v>158</v>
      </c>
    </row>
    <row r="240" spans="1:15">
      <c r="A240" s="3">
        <v>274512576</v>
      </c>
      <c r="B240" s="4">
        <v>46230.993900463</v>
      </c>
      <c r="C240" s="5">
        <f t="shared" si="12"/>
        <v>46230</v>
      </c>
      <c r="D240" s="3" t="str">
        <f t="shared" si="13"/>
        <v>2026-07</v>
      </c>
      <c r="E240" s="3">
        <f t="shared" si="14"/>
        <v>23</v>
      </c>
      <c r="F240" s="3" t="str">
        <f t="shared" si="15"/>
        <v>الإثنين</v>
      </c>
      <c r="G240" s="3" t="s">
        <v>68</v>
      </c>
      <c r="H240" s="3">
        <v>1</v>
      </c>
      <c r="I240" s="3">
        <v>39</v>
      </c>
      <c r="J240" s="3" t="s">
        <v>29</v>
      </c>
      <c r="K240" s="3" t="s">
        <v>24</v>
      </c>
      <c r="L240" s="3" t="s">
        <v>43</v>
      </c>
      <c r="M240" s="3" t="s">
        <v>26</v>
      </c>
      <c r="N240" s="3" t="s">
        <v>27</v>
      </c>
      <c r="O240" s="19" t="s">
        <v>157</v>
      </c>
    </row>
    <row r="241" spans="1:15">
      <c r="A241" s="3">
        <v>275635697</v>
      </c>
      <c r="B241" s="4">
        <v>46235.801724536999</v>
      </c>
      <c r="C241" s="5">
        <f t="shared" si="12"/>
        <v>46235</v>
      </c>
      <c r="D241" s="3" t="str">
        <f t="shared" si="13"/>
        <v>2026-08</v>
      </c>
      <c r="E241" s="3">
        <f t="shared" si="14"/>
        <v>19</v>
      </c>
      <c r="F241" s="3" t="str">
        <f t="shared" si="15"/>
        <v>السبت</v>
      </c>
      <c r="G241" s="3" t="s">
        <v>79</v>
      </c>
      <c r="H241" s="3">
        <v>1</v>
      </c>
      <c r="I241" s="3">
        <v>111</v>
      </c>
      <c r="J241" s="3" t="s">
        <v>23</v>
      </c>
      <c r="K241" s="3" t="s">
        <v>24</v>
      </c>
      <c r="L241" s="3" t="s">
        <v>97</v>
      </c>
      <c r="M241" s="3" t="s">
        <v>26</v>
      </c>
      <c r="N241" s="3" t="s">
        <v>27</v>
      </c>
      <c r="O241" s="19" t="s">
        <v>157</v>
      </c>
    </row>
    <row r="242" spans="1:15">
      <c r="A242" s="3">
        <v>276820203</v>
      </c>
      <c r="B242" s="4">
        <v>46241.802071759303</v>
      </c>
      <c r="C242" s="5">
        <f t="shared" si="12"/>
        <v>46241</v>
      </c>
      <c r="D242" s="3" t="str">
        <f t="shared" si="13"/>
        <v>2026-08</v>
      </c>
      <c r="E242" s="3">
        <f t="shared" si="14"/>
        <v>19</v>
      </c>
      <c r="F242" s="3" t="str">
        <f t="shared" si="15"/>
        <v>الجمعة</v>
      </c>
      <c r="G242" s="3" t="s">
        <v>79</v>
      </c>
      <c r="H242" s="3">
        <v>1</v>
      </c>
      <c r="I242" s="3">
        <v>111</v>
      </c>
      <c r="J242" s="3" t="s">
        <v>62</v>
      </c>
      <c r="K242" s="3" t="s">
        <v>24</v>
      </c>
      <c r="L242" s="3" t="s">
        <v>30</v>
      </c>
      <c r="M242" s="3" t="s">
        <v>26</v>
      </c>
      <c r="N242" s="3" t="s">
        <v>27</v>
      </c>
      <c r="O242" s="19" t="s">
        <v>157</v>
      </c>
    </row>
    <row r="243" spans="1:15">
      <c r="A243" s="3">
        <v>277041396</v>
      </c>
      <c r="B243" s="4">
        <v>46243.0285532407</v>
      </c>
      <c r="C243" s="5">
        <f t="shared" si="12"/>
        <v>46243</v>
      </c>
      <c r="D243" s="3" t="str">
        <f t="shared" si="13"/>
        <v>2026-08</v>
      </c>
      <c r="E243" s="3">
        <f t="shared" si="14"/>
        <v>0</v>
      </c>
      <c r="F243" s="3" t="str">
        <f t="shared" si="15"/>
        <v>الأحد</v>
      </c>
      <c r="G243" s="3" t="s">
        <v>79</v>
      </c>
      <c r="H243" s="3">
        <v>1</v>
      </c>
      <c r="I243" s="3">
        <v>111</v>
      </c>
      <c r="J243" s="3" t="s">
        <v>23</v>
      </c>
      <c r="K243" s="3" t="s">
        <v>24</v>
      </c>
      <c r="L243" s="3" t="s">
        <v>65</v>
      </c>
      <c r="M243" s="3" t="s">
        <v>26</v>
      </c>
      <c r="N243" s="3" t="s">
        <v>27</v>
      </c>
      <c r="O243" s="19" t="s">
        <v>157</v>
      </c>
    </row>
    <row r="244" spans="1:15">
      <c r="A244" s="3">
        <v>277472059</v>
      </c>
      <c r="B244" s="4">
        <v>46245.351493055598</v>
      </c>
      <c r="C244" s="5">
        <f t="shared" si="12"/>
        <v>46245</v>
      </c>
      <c r="D244" s="3" t="str">
        <f t="shared" si="13"/>
        <v>2026-08</v>
      </c>
      <c r="E244" s="3">
        <f t="shared" si="14"/>
        <v>8</v>
      </c>
      <c r="F244" s="3" t="str">
        <f t="shared" si="15"/>
        <v>الثلاثاء</v>
      </c>
      <c r="G244" s="3" t="s">
        <v>79</v>
      </c>
      <c r="H244" s="3">
        <v>1</v>
      </c>
      <c r="I244" s="3">
        <v>111</v>
      </c>
      <c r="J244" s="3" t="s">
        <v>29</v>
      </c>
      <c r="K244" s="3" t="s">
        <v>24</v>
      </c>
      <c r="L244" s="3" t="s">
        <v>30</v>
      </c>
      <c r="M244" s="3" t="s">
        <v>26</v>
      </c>
      <c r="N244" s="3" t="s">
        <v>27</v>
      </c>
      <c r="O244" s="19" t="s">
        <v>158</v>
      </c>
    </row>
    <row r="245" spans="1:15">
      <c r="A245" s="3">
        <v>278910906</v>
      </c>
      <c r="B245" s="4">
        <v>46253.8542592593</v>
      </c>
      <c r="C245" s="5">
        <f t="shared" si="12"/>
        <v>46253</v>
      </c>
      <c r="D245" s="3" t="str">
        <f t="shared" si="13"/>
        <v>2026-08</v>
      </c>
      <c r="E245" s="3">
        <f t="shared" si="14"/>
        <v>20</v>
      </c>
      <c r="F245" s="3" t="str">
        <f t="shared" si="15"/>
        <v>الأربعاء</v>
      </c>
      <c r="G245" s="3" t="s">
        <v>28</v>
      </c>
      <c r="H245" s="3">
        <v>1</v>
      </c>
      <c r="I245" s="3">
        <v>49</v>
      </c>
      <c r="J245" s="3" t="s">
        <v>62</v>
      </c>
      <c r="K245" s="3" t="s">
        <v>24</v>
      </c>
      <c r="L245" s="3" t="s">
        <v>100</v>
      </c>
      <c r="M245" s="3" t="s">
        <v>26</v>
      </c>
      <c r="N245" s="3" t="s">
        <v>27</v>
      </c>
      <c r="O245" s="19" t="s">
        <v>158</v>
      </c>
    </row>
    <row r="246" spans="1:15">
      <c r="A246" s="3">
        <v>279157588</v>
      </c>
      <c r="B246" s="4">
        <v>46255.404120370396</v>
      </c>
      <c r="C246" s="5">
        <f t="shared" si="12"/>
        <v>46255</v>
      </c>
      <c r="D246" s="3" t="str">
        <f t="shared" si="13"/>
        <v>2026-08</v>
      </c>
      <c r="E246" s="3">
        <f t="shared" si="14"/>
        <v>9</v>
      </c>
      <c r="F246" s="3" t="str">
        <f t="shared" si="15"/>
        <v>الجمعة</v>
      </c>
      <c r="G246" s="3" t="s">
        <v>28</v>
      </c>
      <c r="H246" s="3">
        <v>1</v>
      </c>
      <c r="I246" s="3">
        <v>49</v>
      </c>
      <c r="J246" s="3" t="s">
        <v>23</v>
      </c>
      <c r="K246" s="3" t="s">
        <v>24</v>
      </c>
      <c r="L246" s="3" t="s">
        <v>43</v>
      </c>
      <c r="M246" s="3" t="s">
        <v>26</v>
      </c>
      <c r="N246" s="3" t="s">
        <v>27</v>
      </c>
      <c r="O246" s="19" t="s">
        <v>158</v>
      </c>
    </row>
    <row r="247" spans="1:15">
      <c r="A247" s="3">
        <v>280033867</v>
      </c>
      <c r="B247" s="4">
        <v>46260.092326388898</v>
      </c>
      <c r="C247" s="5">
        <f t="shared" si="12"/>
        <v>46260</v>
      </c>
      <c r="D247" s="3" t="str">
        <f t="shared" si="13"/>
        <v>2026-08</v>
      </c>
      <c r="E247" s="3">
        <f t="shared" si="14"/>
        <v>2</v>
      </c>
      <c r="F247" s="3" t="str">
        <f t="shared" si="15"/>
        <v>الأربعاء</v>
      </c>
      <c r="G247" s="3" t="s">
        <v>79</v>
      </c>
      <c r="H247" s="3">
        <v>1</v>
      </c>
      <c r="I247" s="3">
        <v>111</v>
      </c>
      <c r="J247" s="3" t="s">
        <v>23</v>
      </c>
      <c r="K247" s="3" t="s">
        <v>24</v>
      </c>
      <c r="L247" s="3" t="s">
        <v>43</v>
      </c>
      <c r="M247" s="3" t="s">
        <v>26</v>
      </c>
      <c r="N247" s="3" t="s">
        <v>27</v>
      </c>
      <c r="O247" s="19" t="s">
        <v>157</v>
      </c>
    </row>
    <row r="248" spans="1:15">
      <c r="A248" s="3">
        <v>280787036</v>
      </c>
      <c r="B248" s="4">
        <v>46262.730393518497</v>
      </c>
      <c r="C248" s="5">
        <f t="shared" si="12"/>
        <v>46262</v>
      </c>
      <c r="D248" s="3" t="str">
        <f t="shared" si="13"/>
        <v>2026-08</v>
      </c>
      <c r="E248" s="3">
        <f t="shared" si="14"/>
        <v>17</v>
      </c>
      <c r="F248" s="3" t="str">
        <f t="shared" si="15"/>
        <v>الجمعة</v>
      </c>
      <c r="G248" s="3" t="s">
        <v>79</v>
      </c>
      <c r="H248" s="3">
        <v>1</v>
      </c>
      <c r="I248" s="3">
        <v>111</v>
      </c>
      <c r="J248" s="3" t="s">
        <v>62</v>
      </c>
      <c r="K248" s="3" t="s">
        <v>24</v>
      </c>
      <c r="L248" s="3" t="s">
        <v>43</v>
      </c>
      <c r="M248" s="3" t="s">
        <v>26</v>
      </c>
      <c r="N248" s="3" t="s">
        <v>27</v>
      </c>
      <c r="O248" s="19" t="s">
        <v>158</v>
      </c>
    </row>
    <row r="249" spans="1:15">
      <c r="A249" s="3">
        <v>281000987</v>
      </c>
      <c r="B249" s="4">
        <v>46263.479502314804</v>
      </c>
      <c r="C249" s="5">
        <f t="shared" si="12"/>
        <v>46263</v>
      </c>
      <c r="D249" s="3" t="str">
        <f t="shared" si="13"/>
        <v>2026-08</v>
      </c>
      <c r="E249" s="3">
        <f t="shared" si="14"/>
        <v>11</v>
      </c>
      <c r="F249" s="3" t="str">
        <f t="shared" si="15"/>
        <v>السبت</v>
      </c>
      <c r="G249" s="3" t="s">
        <v>28</v>
      </c>
      <c r="H249" s="3">
        <v>1</v>
      </c>
      <c r="I249" s="3">
        <v>49</v>
      </c>
      <c r="J249" s="3" t="s">
        <v>62</v>
      </c>
      <c r="K249" s="3" t="s">
        <v>24</v>
      </c>
      <c r="L249" s="3" t="s">
        <v>44</v>
      </c>
      <c r="M249" s="3" t="s">
        <v>26</v>
      </c>
      <c r="N249" s="3" t="s">
        <v>27</v>
      </c>
      <c r="O249" s="19" t="s">
        <v>158</v>
      </c>
    </row>
    <row r="250" spans="1:15">
      <c r="A250" s="3">
        <v>281060580</v>
      </c>
      <c r="B250" s="4">
        <v>46263.652638888903</v>
      </c>
      <c r="C250" s="5">
        <f t="shared" si="12"/>
        <v>46263</v>
      </c>
      <c r="D250" s="3" t="str">
        <f t="shared" si="13"/>
        <v>2026-08</v>
      </c>
      <c r="E250" s="3">
        <f t="shared" si="14"/>
        <v>15</v>
      </c>
      <c r="F250" s="3" t="str">
        <f t="shared" si="15"/>
        <v>السبت</v>
      </c>
      <c r="G250" s="3" t="s">
        <v>79</v>
      </c>
      <c r="H250" s="3">
        <v>1</v>
      </c>
      <c r="I250" s="3">
        <v>89.03</v>
      </c>
      <c r="J250" s="3" t="s">
        <v>29</v>
      </c>
      <c r="K250" s="3" t="s">
        <v>24</v>
      </c>
      <c r="L250" s="3" t="s">
        <v>152</v>
      </c>
      <c r="M250" s="3" t="s">
        <v>39</v>
      </c>
      <c r="N250" s="3" t="s">
        <v>27</v>
      </c>
      <c r="O250" s="19" t="s">
        <v>157</v>
      </c>
    </row>
    <row r="251" spans="1:15">
      <c r="A251" s="3">
        <v>281341266</v>
      </c>
      <c r="B251" s="4">
        <v>46264.6350578704</v>
      </c>
      <c r="C251" s="5">
        <f t="shared" si="12"/>
        <v>46264</v>
      </c>
      <c r="D251" s="3" t="str">
        <f t="shared" si="13"/>
        <v>2026-08</v>
      </c>
      <c r="E251" s="3">
        <f t="shared" si="14"/>
        <v>15</v>
      </c>
      <c r="F251" s="3" t="str">
        <f t="shared" si="15"/>
        <v>الأحد</v>
      </c>
      <c r="G251" s="3" t="s">
        <v>69</v>
      </c>
      <c r="H251" s="3">
        <v>1</v>
      </c>
      <c r="I251" s="3">
        <v>35</v>
      </c>
      <c r="J251" s="3" t="s">
        <v>62</v>
      </c>
      <c r="K251" s="3" t="s">
        <v>24</v>
      </c>
      <c r="L251" s="3" t="s">
        <v>44</v>
      </c>
      <c r="M251" s="3" t="s">
        <v>26</v>
      </c>
      <c r="N251" s="3" t="s">
        <v>27</v>
      </c>
      <c r="O251" s="19" t="s">
        <v>158</v>
      </c>
    </row>
    <row r="252" spans="1:15">
      <c r="A252" s="3">
        <v>281341266</v>
      </c>
      <c r="B252" s="4">
        <v>46264.6350578704</v>
      </c>
      <c r="C252" s="5">
        <f t="shared" si="12"/>
        <v>46264</v>
      </c>
      <c r="D252" s="3" t="str">
        <f t="shared" si="13"/>
        <v>2026-08</v>
      </c>
      <c r="E252" s="3">
        <f t="shared" si="14"/>
        <v>15</v>
      </c>
      <c r="F252" s="3" t="str">
        <f t="shared" si="15"/>
        <v>الأحد</v>
      </c>
      <c r="G252" s="3" t="s">
        <v>68</v>
      </c>
      <c r="H252" s="3">
        <v>1</v>
      </c>
      <c r="I252" s="3">
        <v>35</v>
      </c>
      <c r="J252" s="3" t="s">
        <v>62</v>
      </c>
      <c r="K252" s="3" t="s">
        <v>24</v>
      </c>
      <c r="L252" s="3" t="s">
        <v>44</v>
      </c>
      <c r="M252" s="3" t="s">
        <v>26</v>
      </c>
      <c r="N252" s="3" t="s">
        <v>27</v>
      </c>
      <c r="O252" s="19" t="s">
        <v>158</v>
      </c>
    </row>
    <row r="253" spans="1:15">
      <c r="A253" s="3">
        <v>281435770</v>
      </c>
      <c r="B253" s="4">
        <v>46264.8726157407</v>
      </c>
      <c r="C253" s="5">
        <f t="shared" si="12"/>
        <v>46264</v>
      </c>
      <c r="D253" s="3" t="str">
        <f t="shared" si="13"/>
        <v>2026-08</v>
      </c>
      <c r="E253" s="3">
        <f t="shared" si="14"/>
        <v>20</v>
      </c>
      <c r="F253" s="3" t="str">
        <f t="shared" si="15"/>
        <v>الأحد</v>
      </c>
      <c r="G253" s="3" t="s">
        <v>28</v>
      </c>
      <c r="H253" s="3">
        <v>1</v>
      </c>
      <c r="I253" s="3">
        <v>39</v>
      </c>
      <c r="J253" s="3" t="s">
        <v>23</v>
      </c>
      <c r="K253" s="3" t="s">
        <v>24</v>
      </c>
      <c r="L253" s="3" t="s">
        <v>74</v>
      </c>
      <c r="M253" s="3" t="s">
        <v>26</v>
      </c>
      <c r="N253" s="3" t="s">
        <v>27</v>
      </c>
      <c r="O253" s="19" t="s">
        <v>158</v>
      </c>
    </row>
    <row r="254" spans="1:15">
      <c r="A254" s="3">
        <v>281565698</v>
      </c>
      <c r="B254" s="4">
        <v>46265.375370370399</v>
      </c>
      <c r="C254" s="5">
        <f t="shared" si="12"/>
        <v>46265</v>
      </c>
      <c r="D254" s="3" t="str">
        <f t="shared" si="13"/>
        <v>2026-08</v>
      </c>
      <c r="E254" s="3">
        <f t="shared" si="14"/>
        <v>9</v>
      </c>
      <c r="F254" s="3" t="str">
        <f t="shared" si="15"/>
        <v>الإثنين</v>
      </c>
      <c r="G254" s="3" t="s">
        <v>79</v>
      </c>
      <c r="H254" s="3">
        <v>1</v>
      </c>
      <c r="I254" s="3">
        <v>89</v>
      </c>
      <c r="J254" s="3" t="s">
        <v>23</v>
      </c>
      <c r="K254" s="3" t="s">
        <v>24</v>
      </c>
      <c r="L254" s="3" t="s">
        <v>30</v>
      </c>
      <c r="M254" s="3" t="s">
        <v>26</v>
      </c>
      <c r="N254" s="3" t="s">
        <v>27</v>
      </c>
      <c r="O254" s="19" t="s">
        <v>158</v>
      </c>
    </row>
    <row r="255" spans="1:15">
      <c r="A255" s="3">
        <v>281608347</v>
      </c>
      <c r="B255" s="4">
        <v>46265.551365740699</v>
      </c>
      <c r="C255" s="5">
        <f t="shared" si="12"/>
        <v>46265</v>
      </c>
      <c r="D255" s="3" t="str">
        <f t="shared" si="13"/>
        <v>2026-08</v>
      </c>
      <c r="E255" s="3">
        <f t="shared" si="14"/>
        <v>13</v>
      </c>
      <c r="F255" s="3" t="str">
        <f t="shared" si="15"/>
        <v>الإثنين</v>
      </c>
      <c r="G255" s="3" t="s">
        <v>79</v>
      </c>
      <c r="H255" s="3">
        <v>1</v>
      </c>
      <c r="I255" s="3">
        <v>89</v>
      </c>
      <c r="J255" s="3" t="s">
        <v>23</v>
      </c>
      <c r="K255" s="3" t="s">
        <v>24</v>
      </c>
      <c r="L255" s="3" t="s">
        <v>101</v>
      </c>
      <c r="M255" s="3" t="s">
        <v>26</v>
      </c>
      <c r="N255" s="3" t="s">
        <v>27</v>
      </c>
      <c r="O255" s="19" t="s">
        <v>158</v>
      </c>
    </row>
    <row r="256" spans="1:15">
      <c r="A256" s="3">
        <v>281613065</v>
      </c>
      <c r="B256" s="4">
        <v>46265.567430555602</v>
      </c>
      <c r="C256" s="5">
        <f t="shared" si="12"/>
        <v>46265</v>
      </c>
      <c r="D256" s="3" t="str">
        <f t="shared" si="13"/>
        <v>2026-08</v>
      </c>
      <c r="E256" s="3">
        <f t="shared" si="14"/>
        <v>13</v>
      </c>
      <c r="F256" s="3" t="str">
        <f t="shared" si="15"/>
        <v>الإثنين</v>
      </c>
      <c r="G256" s="3" t="s">
        <v>79</v>
      </c>
      <c r="H256" s="3">
        <v>1</v>
      </c>
      <c r="I256" s="3">
        <v>89</v>
      </c>
      <c r="J256" s="3" t="s">
        <v>23</v>
      </c>
      <c r="K256" s="3" t="s">
        <v>24</v>
      </c>
      <c r="L256" s="3" t="s">
        <v>30</v>
      </c>
      <c r="M256" s="3" t="s">
        <v>26</v>
      </c>
      <c r="N256" s="3" t="s">
        <v>27</v>
      </c>
      <c r="O256" s="19" t="s">
        <v>158</v>
      </c>
    </row>
    <row r="257" spans="1:15">
      <c r="A257" s="3">
        <v>281634169</v>
      </c>
      <c r="B257" s="4">
        <v>46265.633090277799</v>
      </c>
      <c r="C257" s="5">
        <f t="shared" si="12"/>
        <v>46265</v>
      </c>
      <c r="D257" s="3" t="str">
        <f t="shared" si="13"/>
        <v>2026-08</v>
      </c>
      <c r="E257" s="3">
        <f t="shared" si="14"/>
        <v>15</v>
      </c>
      <c r="F257" s="3" t="str">
        <f t="shared" si="15"/>
        <v>الإثنين</v>
      </c>
      <c r="G257" s="3" t="s">
        <v>28</v>
      </c>
      <c r="H257" s="3">
        <v>1</v>
      </c>
      <c r="I257" s="3">
        <v>39</v>
      </c>
      <c r="J257" s="3" t="s">
        <v>29</v>
      </c>
      <c r="K257" s="3" t="s">
        <v>24</v>
      </c>
      <c r="L257" s="3" t="s">
        <v>43</v>
      </c>
      <c r="M257" s="3" t="s">
        <v>26</v>
      </c>
      <c r="N257" s="3" t="s">
        <v>27</v>
      </c>
      <c r="O257" s="19" t="s">
        <v>158</v>
      </c>
    </row>
    <row r="258" spans="1:15">
      <c r="A258" s="3">
        <v>281654437</v>
      </c>
      <c r="B258" s="4">
        <v>46265.696157407401</v>
      </c>
      <c r="C258" s="5">
        <f t="shared" ref="C258:C303" si="16">INT(B258)</f>
        <v>46265</v>
      </c>
      <c r="D258" s="3" t="str">
        <f t="shared" ref="D258:D303" si="17">TEXT(B258,"yyyy-mm")</f>
        <v>2026-08</v>
      </c>
      <c r="E258" s="3">
        <f t="shared" ref="E258:E303" si="18">HOUR(B258)</f>
        <v>16</v>
      </c>
      <c r="F258" s="3" t="str">
        <f t="shared" ref="F258:F303" si="19">CHOOSE(WEEKDAY(B258,2),"الإثنين","الثلاثاء","الأربعاء","الخميس","الجمعة","السبت","الأحد")</f>
        <v>الإثنين</v>
      </c>
      <c r="G258" s="3" t="s">
        <v>79</v>
      </c>
      <c r="H258" s="3">
        <v>1</v>
      </c>
      <c r="I258" s="3">
        <v>89</v>
      </c>
      <c r="J258" s="3" t="s">
        <v>62</v>
      </c>
      <c r="K258" s="3" t="s">
        <v>24</v>
      </c>
      <c r="L258" s="3" t="s">
        <v>30</v>
      </c>
      <c r="M258" s="3" t="s">
        <v>26</v>
      </c>
      <c r="N258" s="3" t="s">
        <v>27</v>
      </c>
      <c r="O258" s="19" t="s">
        <v>158</v>
      </c>
    </row>
    <row r="259" spans="1:15">
      <c r="A259" s="3">
        <v>281866152</v>
      </c>
      <c r="B259" s="4">
        <v>46266.300625000003</v>
      </c>
      <c r="C259" s="5">
        <f t="shared" si="16"/>
        <v>46266</v>
      </c>
      <c r="D259" s="3" t="str">
        <f t="shared" si="17"/>
        <v>2026-09</v>
      </c>
      <c r="E259" s="3">
        <f t="shared" si="18"/>
        <v>7</v>
      </c>
      <c r="F259" s="3" t="str">
        <f t="shared" si="19"/>
        <v>الثلاثاء</v>
      </c>
      <c r="G259" s="3" t="s">
        <v>28</v>
      </c>
      <c r="H259" s="3">
        <v>1</v>
      </c>
      <c r="I259" s="3">
        <v>39</v>
      </c>
      <c r="J259" s="3" t="s">
        <v>62</v>
      </c>
      <c r="K259" s="3" t="s">
        <v>24</v>
      </c>
      <c r="L259" s="3" t="s">
        <v>30</v>
      </c>
      <c r="M259" s="3" t="s">
        <v>26</v>
      </c>
      <c r="N259" s="3" t="s">
        <v>27</v>
      </c>
      <c r="O259" s="19" t="s">
        <v>158</v>
      </c>
    </row>
    <row r="260" spans="1:15">
      <c r="A260" s="3">
        <v>281898887</v>
      </c>
      <c r="B260" s="4">
        <v>46266.438750000001</v>
      </c>
      <c r="C260" s="5">
        <f t="shared" si="16"/>
        <v>46266</v>
      </c>
      <c r="D260" s="3" t="str">
        <f t="shared" si="17"/>
        <v>2026-09</v>
      </c>
      <c r="E260" s="3">
        <f t="shared" si="18"/>
        <v>10</v>
      </c>
      <c r="F260" s="3" t="str">
        <f t="shared" si="19"/>
        <v>الثلاثاء</v>
      </c>
      <c r="G260" s="3" t="s">
        <v>28</v>
      </c>
      <c r="H260" s="3">
        <v>1</v>
      </c>
      <c r="I260" s="3">
        <v>39</v>
      </c>
      <c r="J260" s="3" t="s">
        <v>29</v>
      </c>
      <c r="K260" s="3" t="s">
        <v>24</v>
      </c>
      <c r="L260" s="3" t="s">
        <v>65</v>
      </c>
      <c r="M260" s="3" t="s">
        <v>26</v>
      </c>
      <c r="N260" s="3" t="s">
        <v>27</v>
      </c>
      <c r="O260" s="19" t="s">
        <v>158</v>
      </c>
    </row>
    <row r="261" spans="1:15">
      <c r="A261" s="3">
        <v>281987342</v>
      </c>
      <c r="B261" s="4">
        <v>46266.6734953704</v>
      </c>
      <c r="C261" s="5">
        <f t="shared" si="16"/>
        <v>46266</v>
      </c>
      <c r="D261" s="3" t="str">
        <f t="shared" si="17"/>
        <v>2026-09</v>
      </c>
      <c r="E261" s="3">
        <f t="shared" si="18"/>
        <v>16</v>
      </c>
      <c r="F261" s="3" t="str">
        <f t="shared" si="19"/>
        <v>الثلاثاء</v>
      </c>
      <c r="G261" s="3" t="s">
        <v>28</v>
      </c>
      <c r="H261" s="3">
        <v>1</v>
      </c>
      <c r="I261" s="3">
        <v>39</v>
      </c>
      <c r="J261" s="3" t="s">
        <v>29</v>
      </c>
      <c r="K261" s="3" t="s">
        <v>24</v>
      </c>
      <c r="L261" s="3" t="s">
        <v>30</v>
      </c>
      <c r="M261" s="3" t="s">
        <v>26</v>
      </c>
      <c r="N261" s="3" t="s">
        <v>27</v>
      </c>
      <c r="O261" s="19" t="s">
        <v>157</v>
      </c>
    </row>
    <row r="262" spans="1:15">
      <c r="A262" s="3">
        <v>282197939</v>
      </c>
      <c r="B262" s="4">
        <v>46267.212361111102</v>
      </c>
      <c r="C262" s="5">
        <f t="shared" si="16"/>
        <v>46267</v>
      </c>
      <c r="D262" s="3" t="str">
        <f t="shared" si="17"/>
        <v>2026-09</v>
      </c>
      <c r="E262" s="3">
        <f t="shared" si="18"/>
        <v>5</v>
      </c>
      <c r="F262" s="3" t="str">
        <f t="shared" si="19"/>
        <v>الأربعاء</v>
      </c>
      <c r="G262" s="3" t="s">
        <v>79</v>
      </c>
      <c r="H262" s="3">
        <v>1</v>
      </c>
      <c r="I262" s="3">
        <v>89</v>
      </c>
      <c r="J262" s="3" t="s">
        <v>29</v>
      </c>
      <c r="K262" s="3" t="s">
        <v>24</v>
      </c>
      <c r="L262" s="3" t="s">
        <v>30</v>
      </c>
      <c r="M262" s="3" t="s">
        <v>26</v>
      </c>
      <c r="N262" s="3" t="s">
        <v>27</v>
      </c>
      <c r="O262" s="19" t="s">
        <v>158</v>
      </c>
    </row>
    <row r="263" spans="1:15">
      <c r="A263" s="3">
        <v>282301768</v>
      </c>
      <c r="B263" s="4">
        <v>46267.603368055599</v>
      </c>
      <c r="C263" s="5">
        <f t="shared" si="16"/>
        <v>46267</v>
      </c>
      <c r="D263" s="3" t="str">
        <f t="shared" si="17"/>
        <v>2026-09</v>
      </c>
      <c r="E263" s="3">
        <f t="shared" si="18"/>
        <v>14</v>
      </c>
      <c r="F263" s="3" t="str">
        <f t="shared" si="19"/>
        <v>الأربعاء</v>
      </c>
      <c r="G263" s="3" t="s">
        <v>79</v>
      </c>
      <c r="H263" s="3">
        <v>1</v>
      </c>
      <c r="I263" s="3">
        <v>89</v>
      </c>
      <c r="J263" s="3" t="s">
        <v>29</v>
      </c>
      <c r="K263" s="3" t="s">
        <v>24</v>
      </c>
      <c r="L263" s="3" t="s">
        <v>102</v>
      </c>
      <c r="M263" s="3" t="s">
        <v>26</v>
      </c>
      <c r="N263" s="3" t="s">
        <v>27</v>
      </c>
      <c r="O263" s="19" t="s">
        <v>158</v>
      </c>
    </row>
    <row r="264" spans="1:15">
      <c r="A264" s="3">
        <v>282306061</v>
      </c>
      <c r="B264" s="4">
        <v>46267.6156597222</v>
      </c>
      <c r="C264" s="5">
        <f t="shared" si="16"/>
        <v>46267</v>
      </c>
      <c r="D264" s="3" t="str">
        <f t="shared" si="17"/>
        <v>2026-09</v>
      </c>
      <c r="E264" s="3">
        <f t="shared" si="18"/>
        <v>14</v>
      </c>
      <c r="F264" s="3" t="str">
        <f t="shared" si="19"/>
        <v>الأربعاء</v>
      </c>
      <c r="G264" s="3" t="s">
        <v>79</v>
      </c>
      <c r="H264" s="3">
        <v>1</v>
      </c>
      <c r="I264" s="3">
        <v>89</v>
      </c>
      <c r="J264" s="3" t="s">
        <v>23</v>
      </c>
      <c r="K264" s="3" t="s">
        <v>24</v>
      </c>
      <c r="L264" s="3" t="s">
        <v>102</v>
      </c>
      <c r="M264" s="3" t="s">
        <v>26</v>
      </c>
      <c r="N264" s="3" t="s">
        <v>27</v>
      </c>
      <c r="O264" s="19" t="s">
        <v>158</v>
      </c>
    </row>
    <row r="265" spans="1:15">
      <c r="A265" s="3">
        <v>282444699</v>
      </c>
      <c r="B265" s="4">
        <v>46267.9535300926</v>
      </c>
      <c r="C265" s="5">
        <f t="shared" si="16"/>
        <v>46267</v>
      </c>
      <c r="D265" s="3" t="str">
        <f t="shared" si="17"/>
        <v>2026-09</v>
      </c>
      <c r="E265" s="3">
        <f t="shared" si="18"/>
        <v>22</v>
      </c>
      <c r="F265" s="3" t="str">
        <f t="shared" si="19"/>
        <v>الأربعاء</v>
      </c>
      <c r="G265" s="3" t="s">
        <v>79</v>
      </c>
      <c r="H265" s="3">
        <v>1</v>
      </c>
      <c r="I265" s="3">
        <v>89</v>
      </c>
      <c r="J265" s="3" t="s">
        <v>29</v>
      </c>
      <c r="K265" s="3" t="s">
        <v>24</v>
      </c>
      <c r="L265" s="3" t="s">
        <v>30</v>
      </c>
      <c r="M265" s="3" t="s">
        <v>26</v>
      </c>
      <c r="N265" s="3" t="s">
        <v>27</v>
      </c>
      <c r="O265" s="19" t="s">
        <v>158</v>
      </c>
    </row>
    <row r="266" spans="1:15">
      <c r="A266" s="3">
        <v>282566975</v>
      </c>
      <c r="B266" s="4">
        <v>46268.452060185198</v>
      </c>
      <c r="C266" s="5">
        <f t="shared" si="16"/>
        <v>46268</v>
      </c>
      <c r="D266" s="3" t="str">
        <f t="shared" si="17"/>
        <v>2026-09</v>
      </c>
      <c r="E266" s="3">
        <f t="shared" si="18"/>
        <v>10</v>
      </c>
      <c r="F266" s="3" t="str">
        <f t="shared" si="19"/>
        <v>الخميس</v>
      </c>
      <c r="G266" s="3" t="s">
        <v>28</v>
      </c>
      <c r="H266" s="3">
        <v>1</v>
      </c>
      <c r="I266" s="3">
        <v>39</v>
      </c>
      <c r="J266" s="3" t="s">
        <v>23</v>
      </c>
      <c r="K266" s="3" t="s">
        <v>24</v>
      </c>
      <c r="L266" s="3" t="s">
        <v>30</v>
      </c>
      <c r="M266" s="3" t="s">
        <v>26</v>
      </c>
      <c r="N266" s="3" t="s">
        <v>27</v>
      </c>
      <c r="O266" s="19" t="s">
        <v>158</v>
      </c>
    </row>
    <row r="267" spans="1:15">
      <c r="A267" s="3">
        <v>282650550</v>
      </c>
      <c r="B267" s="4">
        <v>46268.712037037003</v>
      </c>
      <c r="C267" s="5">
        <f t="shared" si="16"/>
        <v>46268</v>
      </c>
      <c r="D267" s="3" t="str">
        <f t="shared" si="17"/>
        <v>2026-09</v>
      </c>
      <c r="E267" s="3">
        <f t="shared" si="18"/>
        <v>17</v>
      </c>
      <c r="F267" s="3" t="str">
        <f t="shared" si="19"/>
        <v>الخميس</v>
      </c>
      <c r="G267" s="3" t="s">
        <v>28</v>
      </c>
      <c r="H267" s="3">
        <v>1</v>
      </c>
      <c r="I267" s="3">
        <v>39</v>
      </c>
      <c r="J267" s="3" t="s">
        <v>62</v>
      </c>
      <c r="K267" s="3" t="s">
        <v>24</v>
      </c>
      <c r="L267" s="3" t="s">
        <v>30</v>
      </c>
      <c r="M267" s="3" t="s">
        <v>26</v>
      </c>
      <c r="N267" s="3" t="s">
        <v>27</v>
      </c>
      <c r="O267" s="19" t="s">
        <v>158</v>
      </c>
    </row>
    <row r="268" spans="1:15">
      <c r="A268" s="3">
        <v>283062714</v>
      </c>
      <c r="B268" s="4">
        <v>46270.036828703698</v>
      </c>
      <c r="C268" s="5">
        <f t="shared" si="16"/>
        <v>46270</v>
      </c>
      <c r="D268" s="3" t="str">
        <f t="shared" si="17"/>
        <v>2026-09</v>
      </c>
      <c r="E268" s="3">
        <f t="shared" si="18"/>
        <v>0</v>
      </c>
      <c r="F268" s="3" t="str">
        <f t="shared" si="19"/>
        <v>السبت</v>
      </c>
      <c r="G268" s="3" t="s">
        <v>79</v>
      </c>
      <c r="H268" s="3">
        <v>1</v>
      </c>
      <c r="I268" s="3">
        <v>89</v>
      </c>
      <c r="J268" s="3" t="s">
        <v>29</v>
      </c>
      <c r="K268" s="3" t="s">
        <v>24</v>
      </c>
      <c r="L268" s="3" t="s">
        <v>56</v>
      </c>
      <c r="M268" s="3" t="s">
        <v>26</v>
      </c>
      <c r="N268" s="3" t="s">
        <v>27</v>
      </c>
      <c r="O268" s="19" t="s">
        <v>158</v>
      </c>
    </row>
    <row r="269" spans="1:15">
      <c r="A269" s="3">
        <v>283372305</v>
      </c>
      <c r="B269" s="4">
        <v>46271.077638888899</v>
      </c>
      <c r="C269" s="5">
        <f t="shared" si="16"/>
        <v>46271</v>
      </c>
      <c r="D269" s="3" t="str">
        <f t="shared" si="17"/>
        <v>2026-09</v>
      </c>
      <c r="E269" s="3">
        <f t="shared" si="18"/>
        <v>1</v>
      </c>
      <c r="F269" s="3" t="str">
        <f t="shared" si="19"/>
        <v>الأحد</v>
      </c>
      <c r="G269" s="3" t="s">
        <v>28</v>
      </c>
      <c r="H269" s="3">
        <v>1</v>
      </c>
      <c r="I269" s="3">
        <v>39</v>
      </c>
      <c r="J269" s="3" t="s">
        <v>23</v>
      </c>
      <c r="K269" s="3" t="s">
        <v>24</v>
      </c>
      <c r="L269" s="3" t="s">
        <v>103</v>
      </c>
      <c r="M269" s="3" t="s">
        <v>26</v>
      </c>
      <c r="N269" s="3" t="s">
        <v>104</v>
      </c>
      <c r="O269" s="19" t="s">
        <v>158</v>
      </c>
    </row>
    <row r="270" spans="1:15">
      <c r="A270" s="3">
        <v>283389469</v>
      </c>
      <c r="B270" s="4">
        <v>46271.169710648202</v>
      </c>
      <c r="C270" s="5">
        <f t="shared" si="16"/>
        <v>46271</v>
      </c>
      <c r="D270" s="3" t="str">
        <f t="shared" si="17"/>
        <v>2026-09</v>
      </c>
      <c r="E270" s="3">
        <f t="shared" si="18"/>
        <v>4</v>
      </c>
      <c r="F270" s="3" t="str">
        <f t="shared" si="19"/>
        <v>الأحد</v>
      </c>
      <c r="G270" s="3" t="s">
        <v>79</v>
      </c>
      <c r="H270" s="3">
        <v>1</v>
      </c>
      <c r="I270" s="3">
        <v>89</v>
      </c>
      <c r="J270" s="3" t="s">
        <v>62</v>
      </c>
      <c r="K270" s="3" t="s">
        <v>24</v>
      </c>
      <c r="L270" s="3" t="s">
        <v>105</v>
      </c>
      <c r="M270" s="3" t="s">
        <v>26</v>
      </c>
      <c r="N270" s="3" t="s">
        <v>27</v>
      </c>
      <c r="O270" s="19" t="s">
        <v>158</v>
      </c>
    </row>
    <row r="271" spans="1:15">
      <c r="A271" s="3">
        <v>283483740</v>
      </c>
      <c r="B271" s="4">
        <v>46271.595613425903</v>
      </c>
      <c r="C271" s="5">
        <f t="shared" si="16"/>
        <v>46271</v>
      </c>
      <c r="D271" s="3" t="str">
        <f t="shared" si="17"/>
        <v>2026-09</v>
      </c>
      <c r="E271" s="3">
        <f t="shared" si="18"/>
        <v>14</v>
      </c>
      <c r="F271" s="3" t="str">
        <f t="shared" si="19"/>
        <v>الأحد</v>
      </c>
      <c r="G271" s="3" t="s">
        <v>79</v>
      </c>
      <c r="H271" s="3">
        <v>1</v>
      </c>
      <c r="I271" s="3">
        <v>89</v>
      </c>
      <c r="J271" s="3" t="s">
        <v>23</v>
      </c>
      <c r="K271" s="3" t="s">
        <v>24</v>
      </c>
      <c r="L271" s="3" t="s">
        <v>36</v>
      </c>
      <c r="M271" s="3" t="s">
        <v>26</v>
      </c>
      <c r="N271" s="3" t="s">
        <v>27</v>
      </c>
      <c r="O271" s="19" t="s">
        <v>158</v>
      </c>
    </row>
    <row r="272" spans="1:15">
      <c r="A272" s="3">
        <v>283518189</v>
      </c>
      <c r="B272" s="4">
        <v>46271.681273148199</v>
      </c>
      <c r="C272" s="5">
        <f t="shared" si="16"/>
        <v>46271</v>
      </c>
      <c r="D272" s="3" t="str">
        <f t="shared" si="17"/>
        <v>2026-09</v>
      </c>
      <c r="E272" s="3">
        <f t="shared" si="18"/>
        <v>16</v>
      </c>
      <c r="F272" s="3" t="str">
        <f t="shared" si="19"/>
        <v>الأحد</v>
      </c>
      <c r="G272" s="3" t="s">
        <v>28</v>
      </c>
      <c r="H272" s="3">
        <v>1</v>
      </c>
      <c r="I272" s="3">
        <v>39</v>
      </c>
      <c r="J272" s="3" t="s">
        <v>23</v>
      </c>
      <c r="K272" s="3" t="s">
        <v>24</v>
      </c>
      <c r="L272" s="3" t="s">
        <v>97</v>
      </c>
      <c r="M272" s="3" t="s">
        <v>26</v>
      </c>
      <c r="N272" s="3" t="s">
        <v>27</v>
      </c>
      <c r="O272" s="19" t="s">
        <v>158</v>
      </c>
    </row>
    <row r="273" spans="1:15">
      <c r="A273" s="3">
        <v>283566288</v>
      </c>
      <c r="B273" s="4">
        <v>46271.779305555603</v>
      </c>
      <c r="C273" s="5">
        <f t="shared" si="16"/>
        <v>46271</v>
      </c>
      <c r="D273" s="3" t="str">
        <f t="shared" si="17"/>
        <v>2026-09</v>
      </c>
      <c r="E273" s="3">
        <f t="shared" si="18"/>
        <v>18</v>
      </c>
      <c r="F273" s="3" t="str">
        <f t="shared" si="19"/>
        <v>الأحد</v>
      </c>
      <c r="G273" s="3" t="s">
        <v>28</v>
      </c>
      <c r="H273" s="3">
        <v>1</v>
      </c>
      <c r="I273" s="3">
        <v>39</v>
      </c>
      <c r="J273" s="3" t="s">
        <v>23</v>
      </c>
      <c r="K273" s="3" t="s">
        <v>24</v>
      </c>
      <c r="L273" s="3" t="s">
        <v>44</v>
      </c>
      <c r="M273" s="3" t="s">
        <v>26</v>
      </c>
      <c r="N273" s="3" t="s">
        <v>27</v>
      </c>
      <c r="O273" s="19" t="s">
        <v>158</v>
      </c>
    </row>
    <row r="274" spans="1:15">
      <c r="A274" s="3">
        <v>283655566</v>
      </c>
      <c r="B274" s="4">
        <v>46271.942337963003</v>
      </c>
      <c r="C274" s="5">
        <f t="shared" si="16"/>
        <v>46271</v>
      </c>
      <c r="D274" s="3" t="str">
        <f t="shared" si="17"/>
        <v>2026-09</v>
      </c>
      <c r="E274" s="3">
        <f t="shared" si="18"/>
        <v>22</v>
      </c>
      <c r="F274" s="3" t="str">
        <f t="shared" si="19"/>
        <v>الأحد</v>
      </c>
      <c r="G274" s="3" t="s">
        <v>28</v>
      </c>
      <c r="H274" s="3">
        <v>1</v>
      </c>
      <c r="I274" s="3">
        <v>49</v>
      </c>
      <c r="J274" s="3" t="s">
        <v>23</v>
      </c>
      <c r="K274" s="3" t="s">
        <v>24</v>
      </c>
      <c r="L274" s="3" t="s">
        <v>33</v>
      </c>
      <c r="M274" s="3" t="s">
        <v>26</v>
      </c>
      <c r="N274" s="3" t="s">
        <v>27</v>
      </c>
      <c r="O274" s="19" t="s">
        <v>158</v>
      </c>
    </row>
    <row r="275" spans="1:15">
      <c r="A275" s="3">
        <v>283672865</v>
      </c>
      <c r="B275" s="4">
        <v>46271.972430555601</v>
      </c>
      <c r="C275" s="5">
        <f t="shared" si="16"/>
        <v>46271</v>
      </c>
      <c r="D275" s="3" t="str">
        <f t="shared" si="17"/>
        <v>2026-09</v>
      </c>
      <c r="E275" s="3">
        <f t="shared" si="18"/>
        <v>23</v>
      </c>
      <c r="F275" s="3" t="str">
        <f t="shared" si="19"/>
        <v>الأحد</v>
      </c>
      <c r="G275" s="3" t="s">
        <v>28</v>
      </c>
      <c r="H275" s="3">
        <v>1</v>
      </c>
      <c r="I275" s="3">
        <v>49</v>
      </c>
      <c r="J275" s="3" t="s">
        <v>62</v>
      </c>
      <c r="K275" s="3" t="s">
        <v>24</v>
      </c>
      <c r="L275" s="3" t="s">
        <v>30</v>
      </c>
      <c r="M275" s="3" t="s">
        <v>26</v>
      </c>
      <c r="N275" s="3" t="s">
        <v>27</v>
      </c>
      <c r="O275" s="19" t="s">
        <v>158</v>
      </c>
    </row>
    <row r="276" spans="1:15">
      <c r="A276" s="3">
        <v>283676806</v>
      </c>
      <c r="B276" s="4">
        <v>46271.979849536998</v>
      </c>
      <c r="C276" s="5">
        <f t="shared" si="16"/>
        <v>46271</v>
      </c>
      <c r="D276" s="3" t="str">
        <f t="shared" si="17"/>
        <v>2026-09</v>
      </c>
      <c r="E276" s="3">
        <f t="shared" si="18"/>
        <v>23</v>
      </c>
      <c r="F276" s="3" t="str">
        <f t="shared" si="19"/>
        <v>الأحد</v>
      </c>
      <c r="G276" s="3" t="s">
        <v>28</v>
      </c>
      <c r="H276" s="3">
        <v>1</v>
      </c>
      <c r="I276" s="3">
        <v>49</v>
      </c>
      <c r="J276" s="3" t="s">
        <v>23</v>
      </c>
      <c r="K276" s="3" t="s">
        <v>24</v>
      </c>
      <c r="L276" s="3" t="s">
        <v>106</v>
      </c>
      <c r="M276" s="3" t="s">
        <v>26</v>
      </c>
      <c r="N276" s="3" t="s">
        <v>27</v>
      </c>
      <c r="O276" s="19" t="s">
        <v>158</v>
      </c>
    </row>
    <row r="277" spans="1:15">
      <c r="A277" s="3">
        <v>283690170</v>
      </c>
      <c r="B277" s="4">
        <v>46272.004722222198</v>
      </c>
      <c r="C277" s="5">
        <f t="shared" si="16"/>
        <v>46272</v>
      </c>
      <c r="D277" s="3" t="str">
        <f t="shared" si="17"/>
        <v>2026-09</v>
      </c>
      <c r="E277" s="3">
        <f t="shared" si="18"/>
        <v>0</v>
      </c>
      <c r="F277" s="3" t="str">
        <f t="shared" si="19"/>
        <v>الإثنين</v>
      </c>
      <c r="G277" s="3" t="s">
        <v>28</v>
      </c>
      <c r="H277" s="3">
        <v>1</v>
      </c>
      <c r="I277" s="3">
        <v>49</v>
      </c>
      <c r="J277" s="3" t="s">
        <v>23</v>
      </c>
      <c r="K277" s="3" t="s">
        <v>24</v>
      </c>
      <c r="L277" s="3" t="s">
        <v>30</v>
      </c>
      <c r="M277" s="3" t="s">
        <v>26</v>
      </c>
      <c r="N277" s="3" t="s">
        <v>27</v>
      </c>
      <c r="O277" s="19" t="s">
        <v>158</v>
      </c>
    </row>
    <row r="278" spans="1:15">
      <c r="A278" s="3">
        <v>283810924</v>
      </c>
      <c r="B278" s="4">
        <v>46272.347777777803</v>
      </c>
      <c r="C278" s="5">
        <f t="shared" si="16"/>
        <v>46272</v>
      </c>
      <c r="D278" s="3" t="str">
        <f t="shared" si="17"/>
        <v>2026-09</v>
      </c>
      <c r="E278" s="3">
        <f t="shared" si="18"/>
        <v>8</v>
      </c>
      <c r="F278" s="3" t="str">
        <f t="shared" si="19"/>
        <v>الإثنين</v>
      </c>
      <c r="G278" s="3" t="s">
        <v>79</v>
      </c>
      <c r="H278" s="3">
        <v>1</v>
      </c>
      <c r="I278" s="3">
        <v>89</v>
      </c>
      <c r="J278" s="3" t="s">
        <v>23</v>
      </c>
      <c r="K278" s="3" t="s">
        <v>24</v>
      </c>
      <c r="L278" s="3" t="s">
        <v>30</v>
      </c>
      <c r="M278" s="3" t="s">
        <v>26</v>
      </c>
      <c r="N278" s="3" t="s">
        <v>27</v>
      </c>
      <c r="O278" s="19" t="s">
        <v>158</v>
      </c>
    </row>
    <row r="279" spans="1:15">
      <c r="A279" s="3">
        <v>284183175</v>
      </c>
      <c r="B279" s="4">
        <v>46273.628773148201</v>
      </c>
      <c r="C279" s="5">
        <f t="shared" si="16"/>
        <v>46273</v>
      </c>
      <c r="D279" s="3" t="str">
        <f t="shared" si="17"/>
        <v>2026-09</v>
      </c>
      <c r="E279" s="3">
        <f t="shared" si="18"/>
        <v>15</v>
      </c>
      <c r="F279" s="3" t="str">
        <f t="shared" si="19"/>
        <v>الثلاثاء</v>
      </c>
      <c r="G279" s="3" t="s">
        <v>28</v>
      </c>
      <c r="H279" s="3">
        <v>1</v>
      </c>
      <c r="I279" s="3">
        <v>49</v>
      </c>
      <c r="J279" s="3" t="s">
        <v>23</v>
      </c>
      <c r="K279" s="3" t="s">
        <v>24</v>
      </c>
      <c r="L279" s="3" t="s">
        <v>107</v>
      </c>
      <c r="M279" s="3" t="s">
        <v>26</v>
      </c>
      <c r="N279" s="3" t="s">
        <v>27</v>
      </c>
      <c r="O279" s="19" t="s">
        <v>158</v>
      </c>
    </row>
    <row r="280" spans="1:15">
      <c r="A280" s="3">
        <v>284297636</v>
      </c>
      <c r="B280" s="4">
        <v>46273.933287036998</v>
      </c>
      <c r="C280" s="5">
        <f t="shared" si="16"/>
        <v>46273</v>
      </c>
      <c r="D280" s="3" t="str">
        <f t="shared" si="17"/>
        <v>2026-09</v>
      </c>
      <c r="E280" s="3">
        <f t="shared" si="18"/>
        <v>22</v>
      </c>
      <c r="F280" s="3" t="str">
        <f t="shared" si="19"/>
        <v>الثلاثاء</v>
      </c>
      <c r="G280" s="3" t="s">
        <v>79</v>
      </c>
      <c r="H280" s="3">
        <v>1</v>
      </c>
      <c r="I280" s="3">
        <v>89</v>
      </c>
      <c r="J280" s="3" t="s">
        <v>29</v>
      </c>
      <c r="K280" s="3" t="s">
        <v>24</v>
      </c>
      <c r="L280" s="3" t="s">
        <v>30</v>
      </c>
      <c r="M280" s="3" t="s">
        <v>26</v>
      </c>
      <c r="N280" s="3" t="s">
        <v>27</v>
      </c>
      <c r="O280" s="19" t="s">
        <v>158</v>
      </c>
    </row>
    <row r="281" spans="1:15">
      <c r="A281" s="3">
        <v>284347320</v>
      </c>
      <c r="B281" s="4">
        <v>46274.0811805556</v>
      </c>
      <c r="C281" s="5">
        <f t="shared" si="16"/>
        <v>46274</v>
      </c>
      <c r="D281" s="3" t="str">
        <f t="shared" si="17"/>
        <v>2026-09</v>
      </c>
      <c r="E281" s="3">
        <f t="shared" si="18"/>
        <v>1</v>
      </c>
      <c r="F281" s="3" t="str">
        <f t="shared" si="19"/>
        <v>الأربعاء</v>
      </c>
      <c r="G281" s="3" t="s">
        <v>28</v>
      </c>
      <c r="H281" s="3">
        <v>1</v>
      </c>
      <c r="I281" s="3">
        <v>49</v>
      </c>
      <c r="J281" s="3" t="s">
        <v>23</v>
      </c>
      <c r="K281" s="3" t="s">
        <v>24</v>
      </c>
      <c r="L281" s="3" t="s">
        <v>30</v>
      </c>
      <c r="M281" s="3" t="s">
        <v>26</v>
      </c>
      <c r="N281" s="3" t="s">
        <v>27</v>
      </c>
      <c r="O281" s="19" t="s">
        <v>158</v>
      </c>
    </row>
    <row r="282" spans="1:15">
      <c r="A282" s="3">
        <v>284695914</v>
      </c>
      <c r="B282" s="4">
        <v>46275.4610300926</v>
      </c>
      <c r="C282" s="5">
        <f t="shared" si="16"/>
        <v>46275</v>
      </c>
      <c r="D282" s="3" t="str">
        <f t="shared" si="17"/>
        <v>2026-09</v>
      </c>
      <c r="E282" s="3">
        <f t="shared" si="18"/>
        <v>11</v>
      </c>
      <c r="F282" s="3" t="str">
        <f t="shared" si="19"/>
        <v>الخميس</v>
      </c>
      <c r="G282" s="3" t="s">
        <v>28</v>
      </c>
      <c r="H282" s="3">
        <v>1</v>
      </c>
      <c r="I282" s="3">
        <v>49</v>
      </c>
      <c r="J282" s="3" t="s">
        <v>23</v>
      </c>
      <c r="K282" s="3" t="s">
        <v>24</v>
      </c>
      <c r="L282" s="3" t="s">
        <v>30</v>
      </c>
      <c r="M282" s="3" t="s">
        <v>26</v>
      </c>
      <c r="N282" s="3" t="s">
        <v>27</v>
      </c>
      <c r="O282" s="19" t="s">
        <v>158</v>
      </c>
    </row>
    <row r="283" spans="1:15">
      <c r="A283" s="3">
        <v>284747416</v>
      </c>
      <c r="B283" s="4">
        <v>46275.6305671296</v>
      </c>
      <c r="C283" s="5">
        <f t="shared" si="16"/>
        <v>46275</v>
      </c>
      <c r="D283" s="3" t="str">
        <f t="shared" si="17"/>
        <v>2026-09</v>
      </c>
      <c r="E283" s="3">
        <f t="shared" si="18"/>
        <v>15</v>
      </c>
      <c r="F283" s="3" t="str">
        <f t="shared" si="19"/>
        <v>الخميس</v>
      </c>
      <c r="G283" s="3" t="s">
        <v>79</v>
      </c>
      <c r="H283" s="3">
        <v>1</v>
      </c>
      <c r="I283" s="3">
        <v>89</v>
      </c>
      <c r="J283" s="3" t="s">
        <v>23</v>
      </c>
      <c r="K283" s="3" t="s">
        <v>24</v>
      </c>
      <c r="L283" s="3" t="s">
        <v>84</v>
      </c>
      <c r="M283" s="3" t="s">
        <v>26</v>
      </c>
      <c r="N283" s="3" t="s">
        <v>27</v>
      </c>
      <c r="O283" s="19" t="s">
        <v>158</v>
      </c>
    </row>
    <row r="284" spans="1:15">
      <c r="A284" s="3">
        <v>284748142</v>
      </c>
      <c r="B284" s="4">
        <v>46275.632777777799</v>
      </c>
      <c r="C284" s="5">
        <f t="shared" si="16"/>
        <v>46275</v>
      </c>
      <c r="D284" s="3" t="str">
        <f t="shared" si="17"/>
        <v>2026-09</v>
      </c>
      <c r="E284" s="3">
        <f t="shared" si="18"/>
        <v>15</v>
      </c>
      <c r="F284" s="3" t="str">
        <f t="shared" si="19"/>
        <v>الخميس</v>
      </c>
      <c r="G284" s="3" t="s">
        <v>28</v>
      </c>
      <c r="H284" s="3">
        <v>1</v>
      </c>
      <c r="I284" s="3">
        <v>49</v>
      </c>
      <c r="J284" s="3" t="s">
        <v>23</v>
      </c>
      <c r="K284" s="3" t="s">
        <v>24</v>
      </c>
      <c r="L284" s="3" t="s">
        <v>30</v>
      </c>
      <c r="M284" s="3" t="s">
        <v>26</v>
      </c>
      <c r="N284" s="3" t="s">
        <v>27</v>
      </c>
      <c r="O284" s="19" t="s">
        <v>158</v>
      </c>
    </row>
    <row r="285" spans="1:15">
      <c r="A285" s="3">
        <v>284910670</v>
      </c>
      <c r="B285" s="4">
        <v>46276.093055555597</v>
      </c>
      <c r="C285" s="5">
        <f t="shared" si="16"/>
        <v>46276</v>
      </c>
      <c r="D285" s="3" t="str">
        <f t="shared" si="17"/>
        <v>2026-09</v>
      </c>
      <c r="E285" s="3">
        <f t="shared" si="18"/>
        <v>2</v>
      </c>
      <c r="F285" s="3" t="str">
        <f t="shared" si="19"/>
        <v>الجمعة</v>
      </c>
      <c r="G285" s="3" t="s">
        <v>79</v>
      </c>
      <c r="H285" s="3">
        <v>1</v>
      </c>
      <c r="I285" s="3">
        <v>99</v>
      </c>
      <c r="J285" s="3" t="s">
        <v>62</v>
      </c>
      <c r="K285" s="3" t="s">
        <v>24</v>
      </c>
      <c r="L285" s="3" t="s">
        <v>49</v>
      </c>
      <c r="M285" s="3" t="s">
        <v>26</v>
      </c>
      <c r="N285" s="3" t="s">
        <v>27</v>
      </c>
      <c r="O285" s="19" t="s">
        <v>157</v>
      </c>
    </row>
    <row r="286" spans="1:15">
      <c r="A286" s="3">
        <v>285098973</v>
      </c>
      <c r="B286" s="4">
        <v>46276.821053240703</v>
      </c>
      <c r="C286" s="5">
        <f t="shared" si="16"/>
        <v>46276</v>
      </c>
      <c r="D286" s="3" t="str">
        <f t="shared" si="17"/>
        <v>2026-09</v>
      </c>
      <c r="E286" s="3">
        <f t="shared" si="18"/>
        <v>19</v>
      </c>
      <c r="F286" s="3" t="str">
        <f t="shared" si="19"/>
        <v>الجمعة</v>
      </c>
      <c r="G286" s="3" t="s">
        <v>79</v>
      </c>
      <c r="H286" s="3">
        <v>1</v>
      </c>
      <c r="I286" s="3">
        <v>99.04</v>
      </c>
      <c r="J286" s="3" t="s">
        <v>29</v>
      </c>
      <c r="K286" s="3" t="s">
        <v>24</v>
      </c>
      <c r="L286" s="3" t="s">
        <v>108</v>
      </c>
      <c r="M286" s="3" t="s">
        <v>39</v>
      </c>
      <c r="N286" s="3" t="s">
        <v>27</v>
      </c>
      <c r="O286" s="19" t="s">
        <v>158</v>
      </c>
    </row>
    <row r="287" spans="1:15">
      <c r="A287" s="3">
        <v>285141976</v>
      </c>
      <c r="B287" s="4">
        <v>46276.941226851901</v>
      </c>
      <c r="C287" s="5">
        <f t="shared" si="16"/>
        <v>46276</v>
      </c>
      <c r="D287" s="3" t="str">
        <f t="shared" si="17"/>
        <v>2026-09</v>
      </c>
      <c r="E287" s="3">
        <f t="shared" si="18"/>
        <v>22</v>
      </c>
      <c r="F287" s="3" t="str">
        <f t="shared" si="19"/>
        <v>الجمعة</v>
      </c>
      <c r="G287" s="3" t="s">
        <v>28</v>
      </c>
      <c r="H287" s="3">
        <v>1</v>
      </c>
      <c r="I287" s="3">
        <v>49</v>
      </c>
      <c r="J287" s="3" t="s">
        <v>23</v>
      </c>
      <c r="K287" s="3" t="s">
        <v>24</v>
      </c>
      <c r="L287" s="3" t="s">
        <v>30</v>
      </c>
      <c r="M287" s="3" t="s">
        <v>26</v>
      </c>
      <c r="N287" s="3" t="s">
        <v>27</v>
      </c>
      <c r="O287" s="19" t="s">
        <v>158</v>
      </c>
    </row>
    <row r="288" spans="1:15">
      <c r="A288" s="3">
        <v>285450736</v>
      </c>
      <c r="B288" s="4">
        <v>46278.0150810185</v>
      </c>
      <c r="C288" s="5">
        <f t="shared" si="16"/>
        <v>46278</v>
      </c>
      <c r="D288" s="3" t="str">
        <f t="shared" si="17"/>
        <v>2026-09</v>
      </c>
      <c r="E288" s="3">
        <f t="shared" si="18"/>
        <v>0</v>
      </c>
      <c r="F288" s="3" t="str">
        <f t="shared" si="19"/>
        <v>الأحد</v>
      </c>
      <c r="G288" s="3" t="s">
        <v>28</v>
      </c>
      <c r="H288" s="3">
        <v>1</v>
      </c>
      <c r="I288" s="3">
        <v>49</v>
      </c>
      <c r="J288" s="3" t="s">
        <v>23</v>
      </c>
      <c r="K288" s="3" t="s">
        <v>24</v>
      </c>
      <c r="L288" s="3" t="s">
        <v>44</v>
      </c>
      <c r="M288" s="3" t="s">
        <v>26</v>
      </c>
      <c r="N288" s="3" t="s">
        <v>27</v>
      </c>
      <c r="O288" s="19" t="s">
        <v>158</v>
      </c>
    </row>
    <row r="289" spans="1:15">
      <c r="A289" s="3">
        <v>285467662</v>
      </c>
      <c r="B289" s="4">
        <v>46278.075173611098</v>
      </c>
      <c r="C289" s="5">
        <f t="shared" si="16"/>
        <v>46278</v>
      </c>
      <c r="D289" s="3" t="str">
        <f t="shared" si="17"/>
        <v>2026-09</v>
      </c>
      <c r="E289" s="3">
        <f t="shared" si="18"/>
        <v>1</v>
      </c>
      <c r="F289" s="3" t="str">
        <f t="shared" si="19"/>
        <v>الأحد</v>
      </c>
      <c r="G289" s="3" t="s">
        <v>28</v>
      </c>
      <c r="H289" s="3">
        <v>1</v>
      </c>
      <c r="I289" s="3">
        <v>49</v>
      </c>
      <c r="J289" s="3" t="s">
        <v>23</v>
      </c>
      <c r="K289" s="3" t="s">
        <v>24</v>
      </c>
      <c r="L289" s="3" t="s">
        <v>30</v>
      </c>
      <c r="M289" s="3" t="s">
        <v>26</v>
      </c>
      <c r="N289" s="3" t="s">
        <v>27</v>
      </c>
      <c r="O289" s="19" t="s">
        <v>158</v>
      </c>
    </row>
    <row r="290" spans="1:15">
      <c r="A290" s="3">
        <v>285498868</v>
      </c>
      <c r="B290" s="4">
        <v>46278.285474536999</v>
      </c>
      <c r="C290" s="5">
        <f t="shared" si="16"/>
        <v>46278</v>
      </c>
      <c r="D290" s="3" t="str">
        <f t="shared" si="17"/>
        <v>2026-09</v>
      </c>
      <c r="E290" s="3">
        <f t="shared" si="18"/>
        <v>6</v>
      </c>
      <c r="F290" s="3" t="str">
        <f t="shared" si="19"/>
        <v>الأحد</v>
      </c>
      <c r="G290" s="3" t="s">
        <v>79</v>
      </c>
      <c r="H290" s="3">
        <v>1</v>
      </c>
      <c r="I290" s="3">
        <v>99</v>
      </c>
      <c r="J290" s="3" t="s">
        <v>62</v>
      </c>
      <c r="K290" s="3" t="s">
        <v>24</v>
      </c>
      <c r="L290" s="3" t="s">
        <v>31</v>
      </c>
      <c r="M290" s="3" t="s">
        <v>26</v>
      </c>
      <c r="N290" s="3" t="s">
        <v>27</v>
      </c>
      <c r="O290" s="19" t="s">
        <v>158</v>
      </c>
    </row>
    <row r="291" spans="1:15">
      <c r="A291" s="3">
        <v>285768680</v>
      </c>
      <c r="B291" s="4">
        <v>46279.328900462999</v>
      </c>
      <c r="C291" s="5">
        <f t="shared" si="16"/>
        <v>46279</v>
      </c>
      <c r="D291" s="3" t="str">
        <f t="shared" si="17"/>
        <v>2026-09</v>
      </c>
      <c r="E291" s="3">
        <f t="shared" si="18"/>
        <v>7</v>
      </c>
      <c r="F291" s="3" t="str">
        <f t="shared" si="19"/>
        <v>الإثنين</v>
      </c>
      <c r="G291" s="3" t="s">
        <v>79</v>
      </c>
      <c r="H291" s="3">
        <v>1</v>
      </c>
      <c r="I291" s="3">
        <v>99</v>
      </c>
      <c r="J291" s="3" t="s">
        <v>23</v>
      </c>
      <c r="K291" s="3" t="s">
        <v>24</v>
      </c>
      <c r="L291" s="3" t="s">
        <v>30</v>
      </c>
      <c r="M291" s="3" t="s">
        <v>26</v>
      </c>
      <c r="N291" s="3" t="s">
        <v>27</v>
      </c>
      <c r="O291" s="19" t="s">
        <v>158</v>
      </c>
    </row>
    <row r="292" spans="1:15">
      <c r="A292" s="3">
        <v>285853713</v>
      </c>
      <c r="B292" s="4">
        <v>46279.693148148202</v>
      </c>
      <c r="C292" s="5">
        <f t="shared" si="16"/>
        <v>46279</v>
      </c>
      <c r="D292" s="3" t="str">
        <f t="shared" si="17"/>
        <v>2026-09</v>
      </c>
      <c r="E292" s="3">
        <f t="shared" si="18"/>
        <v>16</v>
      </c>
      <c r="F292" s="3" t="str">
        <f t="shared" si="19"/>
        <v>الإثنين</v>
      </c>
      <c r="G292" s="3" t="s">
        <v>79</v>
      </c>
      <c r="H292" s="3">
        <v>1</v>
      </c>
      <c r="I292" s="3">
        <v>99</v>
      </c>
      <c r="J292" s="3" t="s">
        <v>23</v>
      </c>
      <c r="K292" s="3" t="s">
        <v>24</v>
      </c>
      <c r="L292" s="3" t="s">
        <v>30</v>
      </c>
      <c r="M292" s="3" t="s">
        <v>26</v>
      </c>
      <c r="N292" s="3" t="s">
        <v>27</v>
      </c>
      <c r="O292" s="19" t="s">
        <v>158</v>
      </c>
    </row>
    <row r="293" spans="1:15">
      <c r="A293" s="3">
        <v>286056145</v>
      </c>
      <c r="B293" s="4">
        <v>46280.495185185202</v>
      </c>
      <c r="C293" s="5">
        <f t="shared" si="16"/>
        <v>46280</v>
      </c>
      <c r="D293" s="3" t="str">
        <f t="shared" si="17"/>
        <v>2026-09</v>
      </c>
      <c r="E293" s="3">
        <f t="shared" si="18"/>
        <v>11</v>
      </c>
      <c r="F293" s="3" t="str">
        <f t="shared" si="19"/>
        <v>الثلاثاء</v>
      </c>
      <c r="G293" s="3" t="s">
        <v>28</v>
      </c>
      <c r="H293" s="3">
        <v>1</v>
      </c>
      <c r="I293" s="3">
        <v>49</v>
      </c>
      <c r="J293" s="3" t="s">
        <v>23</v>
      </c>
      <c r="K293" s="3" t="s">
        <v>24</v>
      </c>
      <c r="L293" s="3" t="s">
        <v>30</v>
      </c>
      <c r="M293" s="3" t="s">
        <v>26</v>
      </c>
      <c r="N293" s="3" t="s">
        <v>27</v>
      </c>
      <c r="O293" s="19" t="s">
        <v>158</v>
      </c>
    </row>
    <row r="294" spans="1:15">
      <c r="A294" s="3">
        <v>286064862</v>
      </c>
      <c r="B294" s="4">
        <v>46280.534837963001</v>
      </c>
      <c r="C294" s="5">
        <f t="shared" si="16"/>
        <v>46280</v>
      </c>
      <c r="D294" s="3" t="str">
        <f t="shared" si="17"/>
        <v>2026-09</v>
      </c>
      <c r="E294" s="3">
        <f t="shared" si="18"/>
        <v>12</v>
      </c>
      <c r="F294" s="3" t="str">
        <f t="shared" si="19"/>
        <v>الثلاثاء</v>
      </c>
      <c r="G294" s="3" t="s">
        <v>79</v>
      </c>
      <c r="H294" s="3">
        <v>1</v>
      </c>
      <c r="I294" s="3">
        <v>99</v>
      </c>
      <c r="J294" s="3" t="s">
        <v>29</v>
      </c>
      <c r="K294" s="3" t="s">
        <v>24</v>
      </c>
      <c r="L294" s="3" t="s">
        <v>30</v>
      </c>
      <c r="M294" s="3" t="s">
        <v>26</v>
      </c>
      <c r="N294" s="3" t="s">
        <v>27</v>
      </c>
      <c r="O294" s="19" t="s">
        <v>158</v>
      </c>
    </row>
    <row r="295" spans="1:15">
      <c r="A295" s="3">
        <v>286269764</v>
      </c>
      <c r="B295" s="4">
        <v>46281.276516203703</v>
      </c>
      <c r="C295" s="5">
        <f t="shared" si="16"/>
        <v>46281</v>
      </c>
      <c r="D295" s="3" t="str">
        <f t="shared" si="17"/>
        <v>2026-09</v>
      </c>
      <c r="E295" s="3">
        <f t="shared" si="18"/>
        <v>6</v>
      </c>
      <c r="F295" s="3" t="str">
        <f t="shared" si="19"/>
        <v>الأربعاء</v>
      </c>
      <c r="G295" s="3" t="s">
        <v>79</v>
      </c>
      <c r="H295" s="3">
        <v>1</v>
      </c>
      <c r="I295" s="3">
        <v>99</v>
      </c>
      <c r="J295" s="3" t="s">
        <v>62</v>
      </c>
      <c r="K295" s="3" t="s">
        <v>24</v>
      </c>
      <c r="L295" s="3" t="s">
        <v>43</v>
      </c>
      <c r="M295" s="3" t="s">
        <v>26</v>
      </c>
      <c r="N295" s="3" t="s">
        <v>27</v>
      </c>
      <c r="O295" s="19" t="s">
        <v>158</v>
      </c>
    </row>
    <row r="296" spans="1:15">
      <c r="A296" s="3">
        <v>286829598</v>
      </c>
      <c r="B296" s="4">
        <v>46283.628032407403</v>
      </c>
      <c r="C296" s="5">
        <f t="shared" si="16"/>
        <v>46283</v>
      </c>
      <c r="D296" s="3" t="str">
        <f t="shared" si="17"/>
        <v>2026-09</v>
      </c>
      <c r="E296" s="3">
        <f t="shared" si="18"/>
        <v>15</v>
      </c>
      <c r="F296" s="3" t="str">
        <f t="shared" si="19"/>
        <v>الجمعة</v>
      </c>
      <c r="G296" s="3" t="s">
        <v>28</v>
      </c>
      <c r="H296" s="3">
        <v>1</v>
      </c>
      <c r="I296" s="3">
        <v>48.97</v>
      </c>
      <c r="J296" s="3" t="s">
        <v>29</v>
      </c>
      <c r="K296" s="3" t="s">
        <v>24</v>
      </c>
      <c r="L296" s="3" t="s">
        <v>152</v>
      </c>
      <c r="M296" s="3" t="s">
        <v>46</v>
      </c>
      <c r="N296" s="3" t="s">
        <v>27</v>
      </c>
      <c r="O296" s="19" t="s">
        <v>158</v>
      </c>
    </row>
    <row r="297" spans="1:15">
      <c r="A297" s="3">
        <v>286829598</v>
      </c>
      <c r="B297" s="4">
        <v>46283.628032407403</v>
      </c>
      <c r="C297" s="5">
        <f t="shared" si="16"/>
        <v>46283</v>
      </c>
      <c r="D297" s="3" t="str">
        <f t="shared" si="17"/>
        <v>2026-09</v>
      </c>
      <c r="E297" s="3">
        <f t="shared" si="18"/>
        <v>15</v>
      </c>
      <c r="F297" s="3" t="str">
        <f t="shared" si="19"/>
        <v>الجمعة</v>
      </c>
      <c r="G297" s="3" t="s">
        <v>69</v>
      </c>
      <c r="H297" s="3">
        <v>1</v>
      </c>
      <c r="I297" s="3">
        <v>35.049999999999997</v>
      </c>
      <c r="J297" s="3" t="s">
        <v>29</v>
      </c>
      <c r="K297" s="3" t="s">
        <v>24</v>
      </c>
      <c r="L297" s="3" t="s">
        <v>152</v>
      </c>
      <c r="M297" s="3" t="s">
        <v>46</v>
      </c>
      <c r="N297" s="3" t="s">
        <v>27</v>
      </c>
      <c r="O297" s="19" t="s">
        <v>158</v>
      </c>
    </row>
    <row r="298" spans="1:15">
      <c r="A298" s="3">
        <v>287764586</v>
      </c>
      <c r="B298" s="4">
        <v>46287.473912037</v>
      </c>
      <c r="C298" s="5">
        <f t="shared" si="16"/>
        <v>46287</v>
      </c>
      <c r="D298" s="3" t="str">
        <f t="shared" si="17"/>
        <v>2026-09</v>
      </c>
      <c r="E298" s="3">
        <f t="shared" si="18"/>
        <v>11</v>
      </c>
      <c r="F298" s="3" t="str">
        <f t="shared" si="19"/>
        <v>الثلاثاء</v>
      </c>
      <c r="G298" s="3" t="s">
        <v>28</v>
      </c>
      <c r="H298" s="3">
        <v>1</v>
      </c>
      <c r="I298" s="3">
        <v>49</v>
      </c>
      <c r="J298" s="3" t="s">
        <v>23</v>
      </c>
      <c r="K298" s="3" t="s">
        <v>24</v>
      </c>
      <c r="L298" s="3" t="s">
        <v>30</v>
      </c>
      <c r="M298" s="3" t="s">
        <v>26</v>
      </c>
      <c r="N298" s="3" t="s">
        <v>27</v>
      </c>
      <c r="O298" s="19" t="s">
        <v>157</v>
      </c>
    </row>
    <row r="299" spans="1:15">
      <c r="A299" s="3">
        <v>288007319</v>
      </c>
      <c r="B299" s="4">
        <v>46288.136030092603</v>
      </c>
      <c r="C299" s="5">
        <f t="shared" si="16"/>
        <v>46288</v>
      </c>
      <c r="D299" s="3" t="str">
        <f t="shared" si="17"/>
        <v>2026-09</v>
      </c>
      <c r="E299" s="3">
        <f t="shared" si="18"/>
        <v>3</v>
      </c>
      <c r="F299" s="3" t="str">
        <f t="shared" si="19"/>
        <v>الأربعاء</v>
      </c>
      <c r="G299" s="3" t="s">
        <v>79</v>
      </c>
      <c r="H299" s="3">
        <v>1</v>
      </c>
      <c r="I299" s="3">
        <v>99</v>
      </c>
      <c r="J299" s="3" t="s">
        <v>29</v>
      </c>
      <c r="K299" s="3" t="s">
        <v>24</v>
      </c>
      <c r="L299" s="3" t="s">
        <v>152</v>
      </c>
      <c r="M299" s="3" t="s">
        <v>109</v>
      </c>
      <c r="N299" s="3" t="s">
        <v>27</v>
      </c>
      <c r="O299" s="19" t="s">
        <v>158</v>
      </c>
    </row>
    <row r="300" spans="1:15">
      <c r="A300" s="3">
        <v>288166019</v>
      </c>
      <c r="B300" s="4">
        <v>46288.729768518497</v>
      </c>
      <c r="C300" s="5">
        <f t="shared" si="16"/>
        <v>46288</v>
      </c>
      <c r="D300" s="3" t="str">
        <f t="shared" si="17"/>
        <v>2026-09</v>
      </c>
      <c r="E300" s="3">
        <f t="shared" si="18"/>
        <v>17</v>
      </c>
      <c r="F300" s="3" t="str">
        <f t="shared" si="19"/>
        <v>الأربعاء</v>
      </c>
      <c r="G300" s="3" t="s">
        <v>79</v>
      </c>
      <c r="H300" s="3">
        <v>1</v>
      </c>
      <c r="I300" s="3">
        <v>99</v>
      </c>
      <c r="J300" s="3" t="s">
        <v>29</v>
      </c>
      <c r="K300" s="3" t="s">
        <v>24</v>
      </c>
      <c r="L300" s="3" t="s">
        <v>110</v>
      </c>
      <c r="M300" s="3" t="s">
        <v>81</v>
      </c>
      <c r="N300" s="3"/>
      <c r="O300" s="19" t="s">
        <v>158</v>
      </c>
    </row>
    <row r="301" spans="1:15">
      <c r="A301" s="3">
        <v>288653540</v>
      </c>
      <c r="B301" s="4">
        <v>46290.536215277803</v>
      </c>
      <c r="C301" s="5">
        <f t="shared" si="16"/>
        <v>46290</v>
      </c>
      <c r="D301" s="3" t="str">
        <f t="shared" si="17"/>
        <v>2026-09</v>
      </c>
      <c r="E301" s="3">
        <f t="shared" si="18"/>
        <v>12</v>
      </c>
      <c r="F301" s="3" t="str">
        <f t="shared" si="19"/>
        <v>الجمعة</v>
      </c>
      <c r="G301" s="3" t="s">
        <v>79</v>
      </c>
      <c r="H301" s="3">
        <v>1</v>
      </c>
      <c r="I301" s="3">
        <v>99</v>
      </c>
      <c r="J301" s="3" t="s">
        <v>62</v>
      </c>
      <c r="K301" s="3" t="s">
        <v>24</v>
      </c>
      <c r="L301" s="3" t="s">
        <v>36</v>
      </c>
      <c r="M301" s="3" t="s">
        <v>26</v>
      </c>
      <c r="N301" s="3" t="s">
        <v>27</v>
      </c>
      <c r="O301" s="19" t="s">
        <v>157</v>
      </c>
    </row>
    <row r="302" spans="1:15">
      <c r="A302" s="3">
        <v>288670027</v>
      </c>
      <c r="B302" s="4">
        <v>46290.586134259298</v>
      </c>
      <c r="C302" s="5">
        <f t="shared" si="16"/>
        <v>46290</v>
      </c>
      <c r="D302" s="3" t="str">
        <f t="shared" si="17"/>
        <v>2026-09</v>
      </c>
      <c r="E302" s="3">
        <f t="shared" si="18"/>
        <v>14</v>
      </c>
      <c r="F302" s="3" t="str">
        <f t="shared" si="19"/>
        <v>الجمعة</v>
      </c>
      <c r="G302" s="3" t="s">
        <v>79</v>
      </c>
      <c r="H302" s="3">
        <v>1</v>
      </c>
      <c r="I302" s="3">
        <v>99</v>
      </c>
      <c r="J302" s="3" t="s">
        <v>23</v>
      </c>
      <c r="K302" s="3" t="s">
        <v>24</v>
      </c>
      <c r="L302" s="3" t="s">
        <v>43</v>
      </c>
      <c r="M302" s="3" t="s">
        <v>26</v>
      </c>
      <c r="N302" s="3"/>
      <c r="O302" s="19" t="s">
        <v>158</v>
      </c>
    </row>
    <row r="303" spans="1:15">
      <c r="A303" s="3">
        <v>289459290</v>
      </c>
      <c r="B303" s="4">
        <v>46292.862685185202</v>
      </c>
      <c r="C303" s="5">
        <f t="shared" si="16"/>
        <v>46292</v>
      </c>
      <c r="D303" s="3" t="str">
        <f t="shared" si="17"/>
        <v>2026-09</v>
      </c>
      <c r="E303" s="3">
        <f t="shared" si="18"/>
        <v>20</v>
      </c>
      <c r="F303" s="3" t="str">
        <f t="shared" si="19"/>
        <v>الأحد</v>
      </c>
      <c r="G303" s="3" t="s">
        <v>28</v>
      </c>
      <c r="H303" s="3">
        <v>1</v>
      </c>
      <c r="I303" s="3">
        <v>49</v>
      </c>
      <c r="J303" s="3" t="s">
        <v>23</v>
      </c>
      <c r="K303" s="3" t="s">
        <v>24</v>
      </c>
      <c r="L303" s="3" t="s">
        <v>33</v>
      </c>
      <c r="M303" s="3" t="s">
        <v>26</v>
      </c>
      <c r="N303" s="3" t="s">
        <v>27</v>
      </c>
      <c r="O303" s="19" t="s">
        <v>158</v>
      </c>
    </row>
  </sheetData>
  <autoFilter ref="A1:O30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6640625" defaultRowHeight="14.4"/>
  <cols>
    <col min="1" max="1" width="14" customWidth="1"/>
    <col min="2" max="3" width="12" customWidth="1"/>
    <col min="4" max="4" width="24" customWidth="1"/>
    <col min="5" max="5" width="22" customWidth="1"/>
    <col min="6" max="6" width="14" customWidth="1"/>
  </cols>
  <sheetData>
    <row r="1" spans="1:6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</row>
    <row r="2" spans="1:6">
      <c r="A2" s="3" t="s">
        <v>118</v>
      </c>
      <c r="B2" s="3">
        <v>2160</v>
      </c>
      <c r="C2" s="3">
        <v>170</v>
      </c>
      <c r="D2" s="3">
        <v>61.82</v>
      </c>
      <c r="E2" s="6">
        <v>10523.35</v>
      </c>
      <c r="F2" s="7">
        <f>IF(B2=0,0,C2/B2)</f>
        <v>7.8703703703703706E-2</v>
      </c>
    </row>
    <row r="3" spans="1:6">
      <c r="A3" s="3" t="s">
        <v>119</v>
      </c>
      <c r="B3" s="3">
        <v>48190</v>
      </c>
      <c r="C3" s="3">
        <v>104</v>
      </c>
      <c r="D3" s="3">
        <v>37.82</v>
      </c>
      <c r="E3" s="6">
        <v>7062.85</v>
      </c>
      <c r="F3" s="7">
        <f>IF(B3=0,0,C3/B3)</f>
        <v>2.1581240921352976E-3</v>
      </c>
    </row>
    <row r="4" spans="1:6">
      <c r="A4" s="3" t="s">
        <v>120</v>
      </c>
      <c r="B4" s="3">
        <v>167</v>
      </c>
      <c r="C4" s="3">
        <v>3</v>
      </c>
      <c r="D4" s="3">
        <v>1.0900000000000001</v>
      </c>
      <c r="E4" s="6">
        <v>259</v>
      </c>
      <c r="F4" s="7">
        <f>IF(B4=0,0,C4/B4)</f>
        <v>1.7964071856287425E-2</v>
      </c>
    </row>
    <row r="5" spans="1:6">
      <c r="A5" s="8" t="s">
        <v>111</v>
      </c>
      <c r="B5" s="8">
        <f>SUM(B2:B4)</f>
        <v>50517</v>
      </c>
      <c r="C5" s="8">
        <f>SUM(C2:C4)</f>
        <v>277</v>
      </c>
      <c r="D5" s="8"/>
      <c r="E5" s="9">
        <f>SUM(E2:E4)</f>
        <v>17845.2</v>
      </c>
      <c r="F5" s="10">
        <f>IF(B5=0,0,C5/B5)</f>
        <v>5.4833026505928693E-3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opLeftCell="B1" zoomScaleNormal="100" workbookViewId="0">
      <pane ySplit="1" topLeftCell="A2" activePane="bottomLeft" state="frozen"/>
      <selection pane="bottomLeft" activeCell="B26" sqref="B26"/>
    </sheetView>
  </sheetViews>
  <sheetFormatPr defaultColWidth="8.6640625" defaultRowHeight="14.4"/>
  <cols>
    <col min="1" max="1" width="12" customWidth="1"/>
    <col min="2" max="2" width="40" customWidth="1"/>
    <col min="3" max="4" width="12" customWidth="1"/>
    <col min="5" max="5" width="20" customWidth="1"/>
    <col min="6" max="6" width="14" customWidth="1"/>
  </cols>
  <sheetData>
    <row r="1" spans="1:6">
      <c r="A1" s="2" t="s">
        <v>112</v>
      </c>
      <c r="B1" s="2" t="s">
        <v>121</v>
      </c>
      <c r="C1" s="2" t="s">
        <v>113</v>
      </c>
      <c r="D1" s="2" t="s">
        <v>114</v>
      </c>
      <c r="E1" s="2" t="s">
        <v>116</v>
      </c>
      <c r="F1" s="2" t="s">
        <v>117</v>
      </c>
    </row>
    <row r="2" spans="1:6">
      <c r="A2" s="3" t="s">
        <v>119</v>
      </c>
      <c r="B2" s="3" t="s">
        <v>122</v>
      </c>
      <c r="C2" s="3">
        <v>4261</v>
      </c>
      <c r="D2" s="3">
        <v>23</v>
      </c>
      <c r="E2" s="6">
        <v>1367.35</v>
      </c>
      <c r="F2" s="7">
        <f t="shared" ref="F2:F4" si="0">IF(C2=0,0,D2/C2)</f>
        <v>5.3977939450833134E-3</v>
      </c>
    </row>
    <row r="3" spans="1:6">
      <c r="A3" s="3" t="s">
        <v>119</v>
      </c>
      <c r="B3" s="3" t="s">
        <v>123</v>
      </c>
      <c r="C3" s="3">
        <v>3097</v>
      </c>
      <c r="D3" s="3">
        <v>16</v>
      </c>
      <c r="E3" s="6">
        <v>1056.2</v>
      </c>
      <c r="F3" s="7">
        <f t="shared" si="0"/>
        <v>5.1662899580238938E-3</v>
      </c>
    </row>
    <row r="4" spans="1:6">
      <c r="A4" s="3" t="s">
        <v>119</v>
      </c>
      <c r="B4" s="3" t="s">
        <v>124</v>
      </c>
      <c r="C4" s="3">
        <v>4372</v>
      </c>
      <c r="D4" s="3">
        <v>11</v>
      </c>
      <c r="E4" s="6">
        <v>666.4</v>
      </c>
      <c r="F4" s="7">
        <f t="shared" si="0"/>
        <v>2.5160109789569992E-3</v>
      </c>
    </row>
    <row r="5" spans="1:6">
      <c r="A5" s="3"/>
      <c r="B5" s="3"/>
      <c r="C5" s="3"/>
      <c r="D5" s="3"/>
      <c r="E5" s="6"/>
      <c r="F5" s="7"/>
    </row>
    <row r="6" spans="1:6">
      <c r="A6" s="3"/>
      <c r="B6" s="3"/>
      <c r="C6" s="3"/>
      <c r="D6" s="3"/>
      <c r="E6" s="6"/>
      <c r="F6" s="7"/>
    </row>
    <row r="7" spans="1:6">
      <c r="A7" s="3"/>
      <c r="B7" s="3"/>
      <c r="C7" s="3"/>
      <c r="D7" s="3"/>
      <c r="E7" s="6"/>
      <c r="F7" s="7"/>
    </row>
    <row r="8" spans="1:6">
      <c r="A8" s="3"/>
      <c r="B8" s="3"/>
      <c r="C8" s="3"/>
      <c r="D8" s="3"/>
      <c r="E8" s="6"/>
      <c r="F8" s="7"/>
    </row>
    <row r="9" spans="1:6">
      <c r="A9" s="3"/>
      <c r="B9" s="3"/>
      <c r="C9" s="3"/>
      <c r="D9" s="3"/>
      <c r="E9" s="6"/>
      <c r="F9" s="7"/>
    </row>
    <row r="10" spans="1:6">
      <c r="A10" s="3"/>
      <c r="B10" s="3"/>
      <c r="C10" s="3"/>
      <c r="D10" s="3"/>
      <c r="E10" s="6"/>
      <c r="F10" s="7"/>
    </row>
    <row r="11" spans="1:6">
      <c r="A11" s="3"/>
      <c r="B11" s="3"/>
      <c r="C11" s="3"/>
      <c r="D11" s="3"/>
      <c r="E11" s="6"/>
      <c r="F11" s="7"/>
    </row>
    <row r="12" spans="1:6">
      <c r="A12" s="3"/>
      <c r="B12" s="3"/>
      <c r="C12" s="3"/>
      <c r="D12" s="3"/>
      <c r="E12" s="6"/>
      <c r="F12" s="7"/>
    </row>
    <row r="13" spans="1:6">
      <c r="A13" s="3"/>
      <c r="B13" s="3"/>
      <c r="C13" s="3"/>
      <c r="D13" s="3"/>
      <c r="E13" s="6"/>
      <c r="F13" s="7"/>
    </row>
    <row r="14" spans="1:6">
      <c r="A14" s="3"/>
      <c r="B14" s="3"/>
      <c r="C14" s="3"/>
      <c r="D14" s="3"/>
      <c r="E14" s="6"/>
      <c r="F14" s="7"/>
    </row>
    <row r="15" spans="1:6">
      <c r="A15" s="3"/>
      <c r="B15" s="3"/>
      <c r="C15" s="3"/>
      <c r="D15" s="3"/>
      <c r="E15" s="6"/>
      <c r="F15" s="7"/>
    </row>
    <row r="16" spans="1:6">
      <c r="A16" s="3"/>
      <c r="B16" s="3"/>
      <c r="C16" s="3"/>
      <c r="D16" s="3"/>
      <c r="E16" s="6"/>
      <c r="F16" s="7"/>
    </row>
    <row r="17" spans="1:6">
      <c r="A17" s="3"/>
      <c r="B17" s="3"/>
      <c r="C17" s="3"/>
      <c r="D17" s="3"/>
      <c r="E17" s="6"/>
      <c r="F17" s="7"/>
    </row>
    <row r="18" spans="1:6">
      <c r="A18" s="3"/>
      <c r="B18" s="3"/>
      <c r="C18" s="3"/>
      <c r="D18" s="3"/>
      <c r="E18" s="6"/>
      <c r="F18" s="7"/>
    </row>
    <row r="19" spans="1:6">
      <c r="A19" s="3"/>
      <c r="B19" s="3"/>
      <c r="C19" s="3"/>
      <c r="D19" s="3"/>
      <c r="E19" s="6"/>
      <c r="F19" s="7"/>
    </row>
    <row r="20" spans="1:6">
      <c r="A20" s="3"/>
      <c r="B20" s="3"/>
      <c r="C20" s="3"/>
      <c r="D20" s="3"/>
      <c r="E20" s="6"/>
      <c r="F2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pane ySplit="1" topLeftCell="A2" activePane="bottomLeft" state="frozen"/>
      <selection pane="bottomLeft" activeCell="C9" sqref="C9"/>
    </sheetView>
  </sheetViews>
  <sheetFormatPr defaultColWidth="8.6640625" defaultRowHeight="14.4"/>
  <cols>
    <col min="1" max="1" width="18" customWidth="1"/>
    <col min="2" max="2" width="12" customWidth="1"/>
    <col min="3" max="3" width="18" customWidth="1"/>
  </cols>
  <sheetData>
    <row r="1" spans="1:3">
      <c r="A1" s="2" t="s">
        <v>125</v>
      </c>
      <c r="B1" s="2" t="s">
        <v>126</v>
      </c>
      <c r="C1" s="2" t="s">
        <v>127</v>
      </c>
    </row>
    <row r="2" spans="1:3">
      <c r="A2" s="3" t="s">
        <v>128</v>
      </c>
      <c r="B2" s="3">
        <v>50642</v>
      </c>
      <c r="C2" s="7">
        <f>IF($B$2=0,0,B2/$B$2)</f>
        <v>1</v>
      </c>
    </row>
    <row r="3" spans="1:3">
      <c r="A3" s="3" t="s">
        <v>129</v>
      </c>
      <c r="B3" s="3">
        <v>615</v>
      </c>
      <c r="C3" s="7">
        <f>IF($B$2=0,0,B3/$B$2)</f>
        <v>1.2144070139409976E-2</v>
      </c>
    </row>
    <row r="4" spans="1:3">
      <c r="A4" s="3" t="s">
        <v>130</v>
      </c>
      <c r="B4" s="3">
        <v>518</v>
      </c>
      <c r="C4" s="7">
        <f>IF($B$2=0,0,B4/$B$2)</f>
        <v>1.0228663954820109E-2</v>
      </c>
    </row>
    <row r="5" spans="1:3">
      <c r="A5" s="3" t="s">
        <v>131</v>
      </c>
      <c r="B5" s="3">
        <v>105</v>
      </c>
      <c r="C5" s="7">
        <f>IF($B$2=0,0,B5/$B$2)</f>
        <v>2.0733778286797519E-3</v>
      </c>
    </row>
    <row r="6" spans="1:3">
      <c r="A6" s="3" t="s">
        <v>132</v>
      </c>
      <c r="B6" s="3">
        <v>277</v>
      </c>
      <c r="C6" s="7">
        <f>IF($B$2=0,0,B6/$B$2)</f>
        <v>5.4697681766122984E-3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zoomScaleNormal="100" workbookViewId="0">
      <pane ySplit="1" topLeftCell="A2" activePane="bottomLeft" state="frozen"/>
      <selection pane="bottomLeft" activeCell="F18" sqref="F18"/>
    </sheetView>
  </sheetViews>
  <sheetFormatPr defaultColWidth="8.6640625" defaultRowHeight="14.4"/>
  <cols>
    <col min="1" max="1" width="10" customWidth="1"/>
    <col min="2" max="2" width="20" customWidth="1"/>
    <col min="3" max="3" width="16" customWidth="1"/>
    <col min="5" max="5" width="12" customWidth="1"/>
    <col min="6" max="6" width="20" customWidth="1"/>
    <col min="7" max="7" width="16" customWidth="1"/>
  </cols>
  <sheetData>
    <row r="1" spans="1:7">
      <c r="A1" s="2" t="s">
        <v>12</v>
      </c>
      <c r="B1" s="2" t="s">
        <v>142</v>
      </c>
      <c r="C1" s="2" t="s">
        <v>143</v>
      </c>
      <c r="E1" s="12" t="s">
        <v>13</v>
      </c>
      <c r="F1" s="12" t="s">
        <v>142</v>
      </c>
      <c r="G1" s="12" t="s">
        <v>143</v>
      </c>
    </row>
    <row r="2" spans="1:7">
      <c r="A2" s="3">
        <v>0</v>
      </c>
      <c r="B2" s="11">
        <f>SUMPRODUCT((الطلبات!$E$2:$E$303=A2)/COUNTIFS(الطلبات!$A$2:$A$303,الطلبات!$A$2:$A$303))</f>
        <v>12</v>
      </c>
      <c r="C2" s="6">
        <f>SUMIF(الطلبات!$E$2:$E$303,A2,الطلبات!$I$2:$I$303)</f>
        <v>1046</v>
      </c>
      <c r="E2" s="3" t="s">
        <v>144</v>
      </c>
      <c r="F2" s="13">
        <f>SUMPRODUCT((الطلبات!$F$2:$F$303=E2)/COUNTIFS(الطلبات!$A$2:$A$303,الطلبات!$A$2:$A$303))</f>
        <v>43</v>
      </c>
      <c r="G2" s="14">
        <f>SUMIF(الطلبات!$F$2:$F$303,E2,الطلبات!$I$2:$I$303)</f>
        <v>2753.0299999999997</v>
      </c>
    </row>
    <row r="3" spans="1:7">
      <c r="A3" s="3">
        <v>1</v>
      </c>
      <c r="B3" s="11">
        <f>SUMPRODUCT((الطلبات!$E$2:$E$303=A3)/COUNTIFS(الطلبات!$A$2:$A$303,الطلبات!$A$2:$A$303))</f>
        <v>12</v>
      </c>
      <c r="C3" s="6">
        <f>SUMIF(الطلبات!$E$2:$E$303,A3,الطلبات!$I$2:$I$303)</f>
        <v>676</v>
      </c>
      <c r="E3" s="3" t="s">
        <v>145</v>
      </c>
      <c r="F3" s="13">
        <f>SUMPRODUCT((الطلبات!$F$2:$F$303=E3)/COUNTIFS(الطلبات!$A$2:$A$303,الطلبات!$A$2:$A$303))</f>
        <v>36</v>
      </c>
      <c r="G3" s="14">
        <f>SUMIF(الطلبات!$F$2:$F$303,E3,الطلبات!$I$2:$I$303)</f>
        <v>2403.0299999999997</v>
      </c>
    </row>
    <row r="4" spans="1:7">
      <c r="A4" s="3">
        <v>2</v>
      </c>
      <c r="B4" s="11">
        <f>SUMPRODUCT((الطلبات!$E$2:$E$303=A4)/COUNTIFS(الطلبات!$A$2:$A$303,الطلبات!$A$2:$A$303))</f>
        <v>15</v>
      </c>
      <c r="C4" s="6">
        <f>SUMIF(الطلبات!$E$2:$E$303,A4,الطلبات!$I$2:$I$303)</f>
        <v>971.04</v>
      </c>
      <c r="E4" s="3" t="s">
        <v>146</v>
      </c>
      <c r="F4" s="13">
        <f>SUMPRODUCT((الطلبات!$F$2:$F$303=E4)/COUNTIFS(الطلبات!$A$2:$A$303,الطلبات!$A$2:$A$303))</f>
        <v>32</v>
      </c>
      <c r="G4" s="14">
        <f>SUMIF(الطلبات!$F$2:$F$303,E4,الطلبات!$I$2:$I$303)</f>
        <v>2157.06</v>
      </c>
    </row>
    <row r="5" spans="1:7">
      <c r="A5" s="3">
        <v>3</v>
      </c>
      <c r="B5" s="11">
        <f>SUMPRODUCT((الطلبات!$E$2:$E$303=A5)/COUNTIFS(الطلبات!$A$2:$A$303,الطلبات!$A$2:$A$303))</f>
        <v>15.999999999999998</v>
      </c>
      <c r="C5" s="6">
        <f>SUMIF(الطلبات!$E$2:$E$303,A5,الطلبات!$I$2:$I$303)</f>
        <v>1255.03</v>
      </c>
      <c r="E5" s="3" t="s">
        <v>147</v>
      </c>
      <c r="F5" s="13">
        <f>SUMPRODUCT((الطلبات!$F$2:$F$303=E5)/COUNTIFS(الطلبات!$A$2:$A$303,الطلبات!$A$2:$A$303))</f>
        <v>40</v>
      </c>
      <c r="G5" s="14">
        <f>SUMIF(الطلبات!$F$2:$F$303,E5,الطلبات!$I$2:$I$303)</f>
        <v>2775.94</v>
      </c>
    </row>
    <row r="6" spans="1:7">
      <c r="A6" s="3">
        <v>4</v>
      </c>
      <c r="B6" s="11">
        <f>SUMPRODUCT((الطلبات!$E$2:$E$303=A6)/COUNTIFS(الطلبات!$A$2:$A$303,الطلبات!$A$2:$A$303))</f>
        <v>7</v>
      </c>
      <c r="C6" s="6">
        <f>SUMIF(الطلبات!$E$2:$E$303,A6,الطلبات!$I$2:$I$303)</f>
        <v>445</v>
      </c>
      <c r="E6" s="3" t="s">
        <v>148</v>
      </c>
      <c r="F6" s="13">
        <f>SUMPRODUCT((الطلبات!$F$2:$F$303=E6)/COUNTIFS(الطلبات!$A$2:$A$303,الطلبات!$A$2:$A$303))</f>
        <v>44</v>
      </c>
      <c r="G6" s="14">
        <f>SUMIF(الطلبات!$F$2:$F$303,E6,الطلبات!$I$2:$I$303)</f>
        <v>2509.0100000000002</v>
      </c>
    </row>
    <row r="7" spans="1:7">
      <c r="A7" s="3">
        <v>5</v>
      </c>
      <c r="B7" s="11">
        <f>SUMPRODUCT((الطلبات!$E$2:$E$303=A7)/COUNTIFS(الطلبات!$A$2:$A$303,الطلبات!$A$2:$A$303))</f>
        <v>19.000000000000004</v>
      </c>
      <c r="C7" s="6">
        <f>SUMIF(الطلبات!$E$2:$E$303,A7,الطلبات!$I$2:$I$303)</f>
        <v>1451</v>
      </c>
      <c r="E7" s="3" t="s">
        <v>149</v>
      </c>
      <c r="F7" s="13">
        <f>SUMPRODUCT((الطلبات!$F$2:$F$303=E7)/COUNTIFS(الطلبات!$A$2:$A$303,الطلبات!$A$2:$A$303))</f>
        <v>39</v>
      </c>
      <c r="G7" s="14">
        <f>SUMIF(الطلبات!$F$2:$F$303,E7,الطلبات!$I$2:$I$303)</f>
        <v>3037.0899999999997</v>
      </c>
    </row>
    <row r="8" spans="1:7">
      <c r="A8" s="3">
        <v>6</v>
      </c>
      <c r="B8" s="11">
        <f>SUMPRODUCT((الطلبات!$E$2:$E$303=A8)/COUNTIFS(الطلبات!$A$2:$A$303,الطلبات!$A$2:$A$303))</f>
        <v>9</v>
      </c>
      <c r="C8" s="6">
        <f>SUMIF(الطلبات!$E$2:$E$303,A8,الطلبات!$I$2:$I$303)</f>
        <v>665</v>
      </c>
      <c r="E8" s="3" t="s">
        <v>150</v>
      </c>
      <c r="F8" s="13">
        <f>SUMPRODUCT((الطلبات!$F$2:$F$303=E8)/COUNTIFS(الطلبات!$A$2:$A$303,الطلبات!$A$2:$A$303))</f>
        <v>40.999999999999986</v>
      </c>
      <c r="G8" s="14">
        <f>SUMIF(الطلبات!$F$2:$F$303,E8,الطلبات!$I$2:$I$303)</f>
        <v>2791.03</v>
      </c>
    </row>
    <row r="9" spans="1:7">
      <c r="A9" s="3">
        <v>7</v>
      </c>
      <c r="B9" s="11">
        <f>SUMPRODUCT((الطلبات!$E$2:$E$303=A9)/COUNTIFS(الطلبات!$A$2:$A$303,الطلبات!$A$2:$A$303))</f>
        <v>8</v>
      </c>
      <c r="C9" s="6">
        <f>SUMIF(الطلبات!$E$2:$E$303,A9,الطلبات!$I$2:$I$303)</f>
        <v>628</v>
      </c>
    </row>
    <row r="10" spans="1:7">
      <c r="A10" s="3">
        <v>8</v>
      </c>
      <c r="B10" s="11">
        <f>SUMPRODUCT((الطلبات!$E$2:$E$303=A10)/COUNTIFS(الطلبات!$A$2:$A$303,الطلبات!$A$2:$A$303))</f>
        <v>11</v>
      </c>
      <c r="C10" s="6">
        <f>SUMIF(الطلبات!$E$2:$E$303,A10,الطلبات!$I$2:$I$303)</f>
        <v>801</v>
      </c>
    </row>
    <row r="11" spans="1:7">
      <c r="A11" s="3">
        <v>9</v>
      </c>
      <c r="B11" s="11">
        <f>SUMPRODUCT((الطلبات!$E$2:$E$303=A11)/COUNTIFS(الطلبات!$A$2:$A$303,الطلبات!$A$2:$A$303))</f>
        <v>7</v>
      </c>
      <c r="C11" s="6">
        <f>SUMIF(الطلبات!$E$2:$E$303,A11,الطلبات!$I$2:$I$303)</f>
        <v>419</v>
      </c>
    </row>
    <row r="12" spans="1:7">
      <c r="A12" s="3">
        <v>10</v>
      </c>
      <c r="B12" s="11">
        <f>SUMPRODUCT((الطلبات!$E$2:$E$303=A12)/COUNTIFS(الطلبات!$A$2:$A$303,الطلبات!$A$2:$A$303))</f>
        <v>11</v>
      </c>
      <c r="C12" s="6">
        <f>SUMIF(الطلبات!$E$2:$E$303,A12,الطلبات!$I$2:$I$303)</f>
        <v>509</v>
      </c>
    </row>
    <row r="13" spans="1:7">
      <c r="A13" s="3">
        <v>11</v>
      </c>
      <c r="B13" s="11">
        <f>SUMPRODUCT((الطلبات!$E$2:$E$303=A13)/COUNTIFS(الطلبات!$A$2:$A$303,الطلبات!$A$2:$A$303))</f>
        <v>12</v>
      </c>
      <c r="C13" s="6">
        <f>SUMIF(الطلبات!$E$2:$E$303,A13,الطلبات!$I$2:$I$303)</f>
        <v>588</v>
      </c>
    </row>
    <row r="14" spans="1:7">
      <c r="A14" s="3">
        <v>12</v>
      </c>
      <c r="B14" s="11">
        <f>SUMPRODUCT((الطلبات!$E$2:$E$303=A14)/COUNTIFS(الطلبات!$A$2:$A$303,الطلبات!$A$2:$A$303))</f>
        <v>9</v>
      </c>
      <c r="C14" s="6">
        <f>SUMIF(الطلبات!$E$2:$E$303,A14,الطلبات!$I$2:$I$303)</f>
        <v>577</v>
      </c>
    </row>
    <row r="15" spans="1:7">
      <c r="A15" s="3">
        <v>13</v>
      </c>
      <c r="B15" s="11">
        <f>SUMPRODUCT((الطلبات!$E$2:$E$303=A15)/COUNTIFS(الطلبات!$A$2:$A$303,الطلبات!$A$2:$A$303))</f>
        <v>14</v>
      </c>
      <c r="C15" s="6">
        <f>SUMIF(الطلبات!$E$2:$E$303,A15,الطلبات!$I$2:$I$303)</f>
        <v>964.97</v>
      </c>
    </row>
    <row r="16" spans="1:7">
      <c r="A16" s="3">
        <v>14</v>
      </c>
      <c r="B16" s="11">
        <f>SUMPRODUCT((الطلبات!$E$2:$E$303=A16)/COUNTIFS(الطلبات!$A$2:$A$303,الطلبات!$A$2:$A$303))</f>
        <v>11</v>
      </c>
      <c r="C16" s="6">
        <f>SUMIF(الطلبات!$E$2:$E$303,A16,الطلبات!$I$2:$I$303)</f>
        <v>771.03</v>
      </c>
    </row>
    <row r="17" spans="1:3">
      <c r="A17" s="3">
        <v>15</v>
      </c>
      <c r="B17" s="11">
        <f>SUMPRODUCT((الطلبات!$E$2:$E$303=A17)/COUNTIFS(الطلبات!$A$2:$A$303,الطلبات!$A$2:$A$303))</f>
        <v>18</v>
      </c>
      <c r="C17" s="6">
        <f>SUMIF(الطلبات!$E$2:$E$303,A17,الطلبات!$I$2:$I$303)</f>
        <v>1168.05</v>
      </c>
    </row>
    <row r="18" spans="1:3">
      <c r="A18" s="3">
        <v>16</v>
      </c>
      <c r="B18" s="11">
        <f>SUMPRODUCT((الطلبات!$E$2:$E$303=A18)/COUNTIFS(الطلبات!$A$2:$A$303,الطلبات!$A$2:$A$303))</f>
        <v>10</v>
      </c>
      <c r="C18" s="6">
        <f>SUMIF(الطلبات!$E$2:$E$303,A18,الطلبات!$I$2:$I$303)</f>
        <v>658</v>
      </c>
    </row>
    <row r="19" spans="1:3">
      <c r="A19" s="3">
        <v>17</v>
      </c>
      <c r="B19" s="11">
        <f>SUMPRODUCT((الطلبات!$E$2:$E$303=A19)/COUNTIFS(الطلبات!$A$2:$A$303,الطلبات!$A$2:$A$303))</f>
        <v>8</v>
      </c>
      <c r="C19" s="6">
        <f>SUMIF(الطلبات!$E$2:$E$303,A19,الطلبات!$I$2:$I$303)</f>
        <v>494</v>
      </c>
    </row>
    <row r="20" spans="1:3">
      <c r="A20" s="3">
        <v>18</v>
      </c>
      <c r="B20" s="11">
        <f>SUMPRODUCT((الطلبات!$E$2:$E$303=A20)/COUNTIFS(الطلبات!$A$2:$A$303,الطلبات!$A$2:$A$303))</f>
        <v>3</v>
      </c>
      <c r="C20" s="6">
        <f>SUMIF(الطلبات!$E$2:$E$303,A20,الطلبات!$I$2:$I$303)</f>
        <v>199</v>
      </c>
    </row>
    <row r="21" spans="1:3">
      <c r="A21" s="3">
        <v>19</v>
      </c>
      <c r="B21" s="11">
        <f>SUMPRODUCT((الطلبات!$E$2:$E$303=A21)/COUNTIFS(الطلبات!$A$2:$A$303,الطلبات!$A$2:$A$303))</f>
        <v>13</v>
      </c>
      <c r="C21" s="6">
        <f>SUMIF(الطلبات!$E$2:$E$303,A21,الطلبات!$I$2:$I$303)</f>
        <v>935.04</v>
      </c>
    </row>
    <row r="22" spans="1:3">
      <c r="A22" s="3">
        <v>20</v>
      </c>
      <c r="B22" s="11">
        <f>SUMPRODUCT((الطلبات!$E$2:$E$303=A22)/COUNTIFS(الطلبات!$A$2:$A$303,الطلبات!$A$2:$A$303))</f>
        <v>18</v>
      </c>
      <c r="C22" s="6">
        <f>SUMIF(الطلبات!$E$2:$E$303,A22,الطلبات!$I$2:$I$303)</f>
        <v>1215.06</v>
      </c>
    </row>
    <row r="23" spans="1:3">
      <c r="A23" s="3">
        <v>21</v>
      </c>
      <c r="B23" s="11">
        <f>SUMPRODUCT((الطلبات!$E$2:$E$303=A23)/COUNTIFS(الطلبات!$A$2:$A$303,الطلبات!$A$2:$A$303))</f>
        <v>6</v>
      </c>
      <c r="C23" s="6">
        <f>SUMIF(الطلبات!$E$2:$E$303,A23,الطلبات!$I$2:$I$303)</f>
        <v>294</v>
      </c>
    </row>
    <row r="24" spans="1:3">
      <c r="A24" s="3">
        <v>22</v>
      </c>
      <c r="B24" s="11">
        <f>SUMPRODUCT((الطلبات!$E$2:$E$303=A24)/COUNTIFS(الطلبات!$A$2:$A$303,الطلبات!$A$2:$A$303))</f>
        <v>13</v>
      </c>
      <c r="C24" s="6">
        <f>SUMIF(الطلبات!$E$2:$E$303,A24,الطلبات!$I$2:$I$303)</f>
        <v>902.97</v>
      </c>
    </row>
    <row r="25" spans="1:3">
      <c r="A25" s="3">
        <v>23</v>
      </c>
      <c r="B25" s="11">
        <f>SUMPRODUCT((الطلبات!$E$2:$E$303=A25)/COUNTIFS(الطلبات!$A$2:$A$303,الطلبات!$A$2:$A$303))</f>
        <v>13</v>
      </c>
      <c r="C25" s="6">
        <f>SUMIF(الطلبات!$E$2:$E$303,A25,الطلبات!$I$2:$I$303)</f>
        <v>793</v>
      </c>
    </row>
    <row r="27" spans="1:3">
      <c r="A27" s="15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ملاحظات</vt:lpstr>
      <vt:lpstr>Sheet2</vt:lpstr>
      <vt:lpstr>الطلبات</vt:lpstr>
      <vt:lpstr>مصادر الزيارات</vt:lpstr>
      <vt:lpstr>الحملات</vt:lpstr>
      <vt:lpstr>قمع التحويل</vt:lpstr>
      <vt:lpstr>الوقت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 b</cp:lastModifiedBy>
  <cp:revision>0</cp:revision>
  <dcterms:created xsi:type="dcterms:W3CDTF">2026-09-28T14:27:31Z</dcterms:created>
  <dcterms:modified xsi:type="dcterms:W3CDTF">2026-10-02T23:56:46Z</dcterms:modified>
  <dc:language>en-US</dc:language>
</cp:coreProperties>
</file>